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Personal\Desktop\data\excel\"/>
    </mc:Choice>
  </mc:AlternateContent>
  <xr:revisionPtr revIDLastSave="0" documentId="13_ncr:1_{F0403E18-218C-4100-9080-BDC0DB7063EC}" xr6:coauthVersionLast="36" xr6:coauthVersionMax="36" xr10:uidLastSave="{00000000-0000-0000-0000-000000000000}"/>
  <bookViews>
    <workbookView xWindow="0" yWindow="0" windowWidth="19200" windowHeight="5650" firstSheet="5" activeTab="7" xr2:uid="{00000000-000D-0000-FFFF-FFFF00000000}"/>
  </bookViews>
  <sheets>
    <sheet name="average rating and discount" sheetId="3" r:id="rId1"/>
    <sheet name="discounts and  reviews" sheetId="5" r:id="rId2"/>
    <sheet name="product distribution" sheetId="4" r:id="rId3"/>
    <sheet name="rating category and reviews" sheetId="6" r:id="rId4"/>
    <sheet name="high versus low discont pdts" sheetId="7" r:id="rId5"/>
    <sheet name="Excel_jumia (1) " sheetId="1" r:id="rId6"/>
    <sheet name="pivots" sheetId="16" r:id="rId7"/>
    <sheet name="dashboard" sheetId="9" r:id="rId8"/>
  </sheets>
  <definedNames>
    <definedName name="_xlnm._FilterDatabase" localSheetId="5" hidden="1">'Excel_jumia (1) '!$G$1:$G$118</definedName>
    <definedName name="Slicer_Discount_category">#N/A</definedName>
    <definedName name="Slicer_Rating_category">#N/A</definedName>
  </definedNames>
  <calcPr calcId="179021"/>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9" l="1"/>
  <c r="A2" i="9"/>
  <c r="D2" i="9"/>
  <c r="C2" i="9"/>
  <c r="S112" i="1"/>
  <c r="R112" i="1"/>
  <c r="Q112" i="1"/>
  <c r="P112" i="1"/>
  <c r="J94" i="1"/>
  <c r="J81" i="1"/>
  <c r="J77" i="1"/>
  <c r="J73" i="1"/>
  <c r="J96" i="1"/>
  <c r="J78" i="1"/>
  <c r="J98" i="1"/>
  <c r="J72" i="1"/>
  <c r="J101" i="1"/>
  <c r="J95" i="1"/>
  <c r="J74" i="1"/>
  <c r="J71" i="1"/>
  <c r="J84" i="1"/>
  <c r="J92" i="1"/>
  <c r="J66" i="1"/>
  <c r="J68" i="1"/>
  <c r="J65" i="1"/>
  <c r="J82" i="1"/>
  <c r="J80" i="1"/>
  <c r="J102" i="1"/>
  <c r="J4" i="1"/>
  <c r="J97" i="1"/>
  <c r="J87" i="1"/>
  <c r="J91" i="1"/>
  <c r="J79" i="1"/>
  <c r="J100" i="1"/>
  <c r="J99" i="1"/>
  <c r="J93" i="1"/>
  <c r="J2" i="1"/>
  <c r="J90" i="1"/>
  <c r="J76" i="1"/>
  <c r="J89" i="1"/>
  <c r="J75" i="1"/>
  <c r="J83" i="1"/>
  <c r="J69" i="1"/>
  <c r="J67" i="1"/>
  <c r="J88" i="1"/>
  <c r="J85" i="1"/>
  <c r="J3" i="1"/>
  <c r="J31" i="1"/>
  <c r="J44" i="1"/>
  <c r="J32" i="1"/>
  <c r="J60" i="1"/>
  <c r="J9" i="1"/>
  <c r="J24" i="1"/>
  <c r="J20" i="1"/>
  <c r="J18" i="1"/>
  <c r="J40" i="1"/>
  <c r="J41" i="1"/>
  <c r="J59" i="1"/>
  <c r="J54" i="1"/>
  <c r="J58" i="1"/>
  <c r="J26" i="1"/>
  <c r="J36" i="1"/>
  <c r="J21" i="1"/>
  <c r="J17" i="1"/>
  <c r="J7" i="1"/>
  <c r="J29" i="1"/>
  <c r="J38" i="1"/>
  <c r="J103" i="1"/>
  <c r="J115" i="1"/>
  <c r="J108" i="1"/>
  <c r="J109" i="1"/>
  <c r="J107" i="1"/>
  <c r="J114" i="1"/>
  <c r="J111" i="1"/>
  <c r="J104" i="1"/>
  <c r="J110" i="1"/>
  <c r="J105" i="1"/>
  <c r="J112" i="1"/>
  <c r="J106" i="1"/>
  <c r="J113" i="1"/>
  <c r="J116" i="1"/>
  <c r="J19" i="1"/>
  <c r="J27" i="1"/>
  <c r="J55" i="1"/>
  <c r="J47" i="1"/>
  <c r="J8" i="1"/>
  <c r="J70" i="1"/>
  <c r="J13" i="1"/>
  <c r="J62" i="1"/>
  <c r="J39" i="1"/>
  <c r="J48" i="1"/>
  <c r="J45" i="1"/>
  <c r="J42" i="1"/>
  <c r="J52" i="1"/>
  <c r="J22" i="1"/>
  <c r="J46" i="1"/>
  <c r="J30" i="1"/>
  <c r="J12" i="1"/>
  <c r="J5" i="1"/>
  <c r="J53" i="1"/>
  <c r="J14" i="1"/>
  <c r="J6" i="1"/>
  <c r="J51" i="1"/>
  <c r="J61" i="1"/>
  <c r="J43" i="1"/>
  <c r="J49" i="1"/>
  <c r="J28" i="1"/>
  <c r="J16" i="1"/>
  <c r="J11" i="1"/>
  <c r="J10" i="1"/>
  <c r="J64" i="1"/>
  <c r="J56" i="1"/>
  <c r="J25" i="1"/>
  <c r="J23" i="1"/>
  <c r="J57" i="1"/>
  <c r="J63" i="1"/>
  <c r="J37" i="1"/>
  <c r="J35" i="1"/>
  <c r="J50" i="1"/>
  <c r="J33" i="1"/>
  <c r="J34" i="1"/>
  <c r="J15" i="1"/>
  <c r="J86" i="1"/>
  <c r="I94" i="1"/>
  <c r="I81" i="1"/>
  <c r="I77" i="1"/>
  <c r="I73" i="1"/>
  <c r="I96" i="1"/>
  <c r="I78" i="1"/>
  <c r="I98" i="1"/>
  <c r="I72" i="1"/>
  <c r="I101" i="1"/>
  <c r="I95" i="1"/>
  <c r="I74" i="1"/>
  <c r="I71" i="1"/>
  <c r="I84" i="1"/>
  <c r="I92" i="1"/>
  <c r="I66" i="1"/>
  <c r="I68" i="1"/>
  <c r="I65" i="1"/>
  <c r="I82" i="1"/>
  <c r="I80" i="1"/>
  <c r="I102" i="1"/>
  <c r="I4" i="1"/>
  <c r="I97" i="1"/>
  <c r="I87" i="1"/>
  <c r="I91" i="1"/>
  <c r="I79" i="1"/>
  <c r="I100" i="1"/>
  <c r="I99" i="1"/>
  <c r="I93" i="1"/>
  <c r="I2" i="1"/>
  <c r="I90" i="1"/>
  <c r="I76" i="1"/>
  <c r="I89" i="1"/>
  <c r="I75" i="1"/>
  <c r="I83" i="1"/>
  <c r="I69" i="1"/>
  <c r="I67" i="1"/>
  <c r="I88" i="1"/>
  <c r="I85" i="1"/>
  <c r="I3" i="1"/>
  <c r="I31" i="1"/>
  <c r="I44" i="1"/>
  <c r="I32" i="1"/>
  <c r="I60" i="1"/>
  <c r="I9" i="1"/>
  <c r="I24" i="1"/>
  <c r="I20" i="1"/>
  <c r="I18" i="1"/>
  <c r="I40" i="1"/>
  <c r="I41" i="1"/>
  <c r="I59" i="1"/>
  <c r="I54" i="1"/>
  <c r="I58" i="1"/>
  <c r="I26" i="1"/>
  <c r="I36" i="1"/>
  <c r="I21" i="1"/>
  <c r="I17" i="1"/>
  <c r="I7" i="1"/>
  <c r="I29" i="1"/>
  <c r="I38" i="1"/>
  <c r="I103" i="1"/>
  <c r="I115" i="1"/>
  <c r="I108" i="1"/>
  <c r="I109" i="1"/>
  <c r="I107" i="1"/>
  <c r="I114" i="1"/>
  <c r="I111" i="1"/>
  <c r="I104" i="1"/>
  <c r="I110" i="1"/>
  <c r="I105" i="1"/>
  <c r="I112" i="1"/>
  <c r="I106" i="1"/>
  <c r="I113" i="1"/>
  <c r="I116" i="1"/>
  <c r="I19" i="1"/>
  <c r="I27" i="1"/>
  <c r="I55" i="1"/>
  <c r="I47" i="1"/>
  <c r="I8" i="1"/>
  <c r="I70" i="1"/>
  <c r="I13" i="1"/>
  <c r="I62" i="1"/>
  <c r="I39" i="1"/>
  <c r="I48" i="1"/>
  <c r="I45" i="1"/>
  <c r="I42" i="1"/>
  <c r="I52" i="1"/>
  <c r="I22" i="1"/>
  <c r="I46" i="1"/>
  <c r="I30" i="1"/>
  <c r="I12" i="1"/>
  <c r="I5" i="1"/>
  <c r="I53" i="1"/>
  <c r="I14" i="1"/>
  <c r="I6" i="1"/>
  <c r="I51" i="1"/>
  <c r="I61" i="1"/>
  <c r="I43" i="1"/>
  <c r="I49" i="1"/>
  <c r="I28" i="1"/>
  <c r="I16" i="1"/>
  <c r="I11" i="1"/>
  <c r="I10" i="1"/>
  <c r="I64" i="1"/>
  <c r="I56" i="1"/>
  <c r="I25" i="1"/>
  <c r="I23" i="1"/>
  <c r="I57" i="1"/>
  <c r="I63" i="1"/>
  <c r="I37" i="1"/>
  <c r="I35" i="1"/>
  <c r="I50" i="1"/>
  <c r="I33" i="1"/>
  <c r="I34" i="1"/>
  <c r="I15" i="1"/>
  <c r="I86" i="1"/>
  <c r="H94" i="1"/>
  <c r="H81" i="1"/>
  <c r="H77" i="1"/>
  <c r="H73" i="1"/>
  <c r="H96" i="1"/>
  <c r="H78" i="1"/>
  <c r="H98" i="1"/>
  <c r="H72" i="1"/>
  <c r="H101" i="1"/>
  <c r="H95" i="1"/>
  <c r="H74" i="1"/>
  <c r="H71" i="1"/>
  <c r="H84" i="1"/>
  <c r="H92" i="1"/>
  <c r="H66" i="1"/>
  <c r="H68" i="1"/>
  <c r="H65" i="1"/>
  <c r="H82" i="1"/>
  <c r="H80" i="1"/>
  <c r="H102" i="1"/>
  <c r="H4" i="1"/>
  <c r="H97" i="1"/>
  <c r="H87" i="1"/>
  <c r="H91" i="1"/>
  <c r="H79" i="1"/>
  <c r="H100" i="1"/>
  <c r="H99" i="1"/>
  <c r="H93" i="1"/>
  <c r="H2" i="1"/>
  <c r="H90" i="1"/>
  <c r="H76" i="1"/>
  <c r="H89" i="1"/>
  <c r="H75" i="1"/>
  <c r="H83" i="1"/>
  <c r="H69" i="1"/>
  <c r="H67" i="1"/>
  <c r="H88" i="1"/>
  <c r="H85" i="1"/>
  <c r="H3" i="1"/>
  <c r="H31" i="1"/>
  <c r="H44" i="1"/>
  <c r="H32" i="1"/>
  <c r="H60" i="1"/>
  <c r="H9" i="1"/>
  <c r="H24" i="1"/>
  <c r="H20" i="1"/>
  <c r="H18" i="1"/>
  <c r="H40" i="1"/>
  <c r="H41" i="1"/>
  <c r="H59" i="1"/>
  <c r="H54" i="1"/>
  <c r="H58" i="1"/>
  <c r="H26" i="1"/>
  <c r="H36" i="1"/>
  <c r="H21" i="1"/>
  <c r="H17" i="1"/>
  <c r="H7" i="1"/>
  <c r="H29" i="1"/>
  <c r="H38" i="1"/>
  <c r="H103" i="1"/>
  <c r="H115" i="1"/>
  <c r="H108" i="1"/>
  <c r="H109" i="1"/>
  <c r="H107" i="1"/>
  <c r="H114" i="1"/>
  <c r="H111" i="1"/>
  <c r="H104" i="1"/>
  <c r="H110" i="1"/>
  <c r="H105" i="1"/>
  <c r="H112" i="1"/>
  <c r="H106" i="1"/>
  <c r="H113" i="1"/>
  <c r="H116" i="1"/>
  <c r="H19" i="1"/>
  <c r="H27" i="1"/>
  <c r="H55" i="1"/>
  <c r="H47" i="1"/>
  <c r="H8" i="1"/>
  <c r="H70" i="1"/>
  <c r="H13" i="1"/>
  <c r="H62" i="1"/>
  <c r="H39" i="1"/>
  <c r="H48" i="1"/>
  <c r="H45" i="1"/>
  <c r="H42" i="1"/>
  <c r="H52" i="1"/>
  <c r="H22" i="1"/>
  <c r="H46" i="1"/>
  <c r="H30" i="1"/>
  <c r="H12" i="1"/>
  <c r="H5" i="1"/>
  <c r="H53" i="1"/>
  <c r="H14" i="1"/>
  <c r="H6" i="1"/>
  <c r="H51" i="1"/>
  <c r="H61" i="1"/>
  <c r="H43" i="1"/>
  <c r="H49" i="1"/>
  <c r="H28" i="1"/>
  <c r="H16" i="1"/>
  <c r="H11" i="1"/>
  <c r="H10" i="1"/>
  <c r="H64" i="1"/>
  <c r="H56" i="1"/>
  <c r="H25" i="1"/>
  <c r="H23" i="1"/>
  <c r="H57" i="1"/>
  <c r="H63" i="1"/>
  <c r="H37" i="1"/>
  <c r="H35" i="1"/>
  <c r="H50" i="1"/>
  <c r="H33" i="1"/>
  <c r="H34" i="1"/>
  <c r="H15" i="1"/>
  <c r="H86" i="1"/>
  <c r="F94" i="1"/>
  <c r="F81" i="1"/>
  <c r="F77" i="1"/>
  <c r="F73" i="1"/>
  <c r="F96" i="1"/>
  <c r="F78" i="1"/>
  <c r="F98" i="1"/>
  <c r="F72" i="1"/>
  <c r="F101" i="1"/>
  <c r="F95" i="1"/>
  <c r="F74" i="1"/>
  <c r="F71" i="1"/>
  <c r="F84" i="1"/>
  <c r="F92" i="1"/>
  <c r="F66" i="1"/>
  <c r="F68" i="1"/>
  <c r="F65" i="1"/>
  <c r="F82" i="1"/>
  <c r="F80" i="1"/>
  <c r="F102" i="1"/>
  <c r="F97" i="1"/>
  <c r="F87" i="1"/>
  <c r="F91" i="1"/>
  <c r="F79" i="1"/>
  <c r="F100" i="1"/>
  <c r="F99" i="1"/>
  <c r="F93" i="1"/>
  <c r="F90" i="1"/>
  <c r="F76" i="1"/>
  <c r="F89" i="1"/>
  <c r="F75" i="1"/>
  <c r="F83" i="1"/>
  <c r="F69" i="1"/>
  <c r="F67" i="1"/>
  <c r="F88" i="1"/>
  <c r="F85" i="1"/>
  <c r="F103" i="1"/>
  <c r="F115" i="1"/>
  <c r="F108" i="1"/>
  <c r="F109" i="1"/>
  <c r="F107" i="1"/>
  <c r="F114" i="1"/>
  <c r="F111" i="1"/>
  <c r="F104" i="1"/>
  <c r="F110" i="1"/>
  <c r="F105" i="1"/>
  <c r="F112" i="1"/>
  <c r="F106" i="1"/>
  <c r="F113" i="1"/>
  <c r="F116" i="1"/>
  <c r="F70" i="1"/>
  <c r="F86" i="1"/>
</calcChain>
</file>

<file path=xl/sharedStrings.xml><?xml version="1.0" encoding="utf-8"?>
<sst xmlns="http://schemas.openxmlformats.org/spreadsheetml/2006/main" count="449" uniqueCount="155">
  <si>
    <t>Product</t>
  </si>
  <si>
    <t>Current price</t>
  </si>
  <si>
    <t>old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</si>
  <si>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</si>
  <si>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</si>
  <si>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</si>
  <si>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</si>
  <si>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</si>
  <si>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</si>
  <si>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</si>
  <si>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</si>
  <si>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</si>
  <si>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</si>
  <si>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</si>
  <si>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</si>
  <si>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</si>
  <si>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</si>
  <si>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</si>
  <si>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</si>
  <si>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</si>
  <si>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</si>
  <si>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</si>
  <si>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</si>
  <si>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</si>
  <si>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</si>
  <si>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</si>
  <si>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</si>
  <si>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</si>
  <si>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</si>
  <si>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</si>
  <si>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</si>
  <si>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</si>
  <si>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</si>
  <si>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</si>
  <si>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</si>
  <si>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</si>
  <si>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</si>
  <si>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</si>
  <si>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</si>
  <si>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</si>
  <si>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</si>
  <si>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</si>
  <si>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</si>
  <si>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</si>
  <si>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</si>
  <si>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</si>
  <si>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</si>
  <si>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</si>
  <si>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</si>
  <si>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</si>
  <si>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</si>
  <si>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</si>
  <si>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</si>
  <si>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</si>
  <si>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</si>
  <si>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</si>
  <si>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</si>
  <si>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</si>
  <si>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</si>
  <si>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</si>
  <si>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</si>
  <si>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</si>
  <si>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</si>
  <si>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</si>
  <si>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</si>
  <si>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</si>
  <si>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</si>
  <si>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</si>
  <si>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</si>
  <si>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</si>
  <si>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</si>
  <si>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</si>
  <si>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</si>
  <si>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</si>
  <si>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</si>
  <si>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</si>
  <si>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</si>
  <si>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</si>
  <si>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</si>
  <si>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</si>
  <si>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</si>
  <si>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</si>
  <si>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</si>
  <si>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</si>
  <si>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</si>
  <si>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</si>
  <si>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</si>
  <si>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</si>
  <si>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</si>
  <si>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</si>
  <si>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</si>
  <si>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</si>
  <si>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</si>
  <si>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</si>
  <si>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</si>
  <si>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</si>
  <si>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</si>
  <si>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</si>
  <si>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</si>
  <si>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</si>
  <si>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</si>
  <si>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</si>
  <si>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</si>
  <si>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</si>
  <si>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</si>
  <si>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</si>
  <si>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</si>
  <si>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</si>
  <si>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</si>
  <si>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</si>
  <si>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</si>
  <si>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</si>
  <si>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</si>
  <si>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</si>
  <si>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</si>
  <si>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Not provided</t>
  </si>
  <si>
    <t>1,620 - 1,980</t>
  </si>
  <si>
    <t>2,200 - 3,200</t>
  </si>
  <si>
    <t>Reviews</t>
  </si>
  <si>
    <t>Discount category</t>
  </si>
  <si>
    <t>Rating category</t>
  </si>
  <si>
    <t>Discount amount</t>
  </si>
  <si>
    <t>most expensive item is 1/2/3 Seater Elastic Sofa Cover,Living Room/Home Decor Chair Cover-Grey</t>
  </si>
  <si>
    <t>least expensive item is 3PCS Single Head Knitting Crochet Sweater Needle Set</t>
  </si>
  <si>
    <t>Row Labels</t>
  </si>
  <si>
    <t>High</t>
  </si>
  <si>
    <t>Low</t>
  </si>
  <si>
    <t>Medium</t>
  </si>
  <si>
    <t>Grand Total</t>
  </si>
  <si>
    <t>Average of Discount</t>
  </si>
  <si>
    <t>Count of Ratingd</t>
  </si>
  <si>
    <t/>
  </si>
  <si>
    <t>Count of Product</t>
  </si>
  <si>
    <t>Average</t>
  </si>
  <si>
    <t>Excellent</t>
  </si>
  <si>
    <t>Poor</t>
  </si>
  <si>
    <t>There is no direct relationship between discount percentage and reviews</t>
  </si>
  <si>
    <t>there is a weak relationship between ratings and reviews</t>
  </si>
  <si>
    <t>Count of Reviews</t>
  </si>
  <si>
    <t>higher discounts lead to high customer engangement</t>
  </si>
  <si>
    <t>Count of Review</t>
  </si>
  <si>
    <t>yes, higher rated products  have more reviews</t>
  </si>
  <si>
    <t>products with highest discount</t>
  </si>
  <si>
    <t>top 10 products with most reviews</t>
  </si>
  <si>
    <t>top 5 rated items</t>
  </si>
  <si>
    <t>bottom 5 rated items</t>
  </si>
  <si>
    <t>Average of Ratingd</t>
  </si>
  <si>
    <t>Average of Reviews</t>
  </si>
  <si>
    <t>low discounted products have higher average ratings</t>
  </si>
  <si>
    <t>high discounted products have more average reviews</t>
  </si>
  <si>
    <t>Sum of Reviews</t>
  </si>
  <si>
    <t>Total products</t>
  </si>
  <si>
    <t>average ratingd</t>
  </si>
  <si>
    <t>average discount</t>
  </si>
  <si>
    <t>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</si>
</sst>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0" fontId="16"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10" xfId="0" applyFont="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20" fillId="0" borderId="13" xfId="0" applyFont="1" applyBorder="1" applyAlignment="1">
      <alignment horizontal="center"/>
    </xf>
    <xf numFmtId="0" fontId="20" fillId="0" borderId="14" xfId="0" applyFont="1" applyBorder="1" applyAlignment="1">
      <alignment horizontal="center"/>
    </xf>
    <xf numFmtId="9" fontId="20" fillId="0" borderId="14" xfId="0" applyNumberFormat="1" applyFont="1" applyBorder="1" applyAlignment="1">
      <alignment horizontal="center"/>
    </xf>
    <xf numFmtId="0" fontId="20" fillId="0" borderId="15"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[MUSEKWA HADIJJA EXCEL ASSIGMENT.xlsx]pivots!PivotTable17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pivots!$E$7</c:f>
              <c:strCache>
                <c:ptCount val="1"/>
                <c:pt idx="0">
                  <c:v>Total</c:v>
                </c:pt>
              </c:strCache>
            </c:strRef>
          </c:tx>
          <c:spPr>
            <a:solidFill>
              <a:schemeClr val="accent1"/>
            </a:solidFill>
            <a:ln>
              <a:noFill/>
            </a:ln>
            <a:effectLst/>
          </c:spPr>
          <c:invertIfNegative val="0"/>
          <c:cat>
            <c:strRef>
              <c:f>pivots!$D$8:$D$11</c:f>
              <c:strCache>
                <c:ptCount val="3"/>
                <c:pt idx="0">
                  <c:v>High</c:v>
                </c:pt>
                <c:pt idx="1">
                  <c:v>Low</c:v>
                </c:pt>
                <c:pt idx="2">
                  <c:v>Medium</c:v>
                </c:pt>
              </c:strCache>
            </c:strRef>
          </c:cat>
          <c:val>
            <c:numRef>
              <c:f>pivots!$E$8:$E$11</c:f>
              <c:numCache>
                <c:formatCode>General</c:formatCode>
                <c:ptCount val="3"/>
                <c:pt idx="0">
                  <c:v>65</c:v>
                </c:pt>
                <c:pt idx="1">
                  <c:v>18</c:v>
                </c:pt>
                <c:pt idx="2">
                  <c:v>32</c:v>
                </c:pt>
              </c:numCache>
            </c:numRef>
          </c:val>
          <c:extLst>
            <c:ext xmlns:c16="http://schemas.microsoft.com/office/drawing/2014/chart" uri="{C3380CC4-5D6E-409C-BE32-E72D297353CC}">
              <c16:uniqueId val="{00000000-81A4-4074-9D87-4FBEAD8B77A7}"/>
            </c:ext>
          </c:extLst>
        </c:ser>
        <c:dLbls>
          <c:showLegendKey val="0"/>
          <c:showVal val="0"/>
          <c:showCatName val="0"/>
          <c:showSerName val="0"/>
          <c:showPercent val="0"/>
          <c:showBubbleSize val="0"/>
        </c:dLbls>
        <c:gapWidth val="219"/>
        <c:overlap val="-27"/>
        <c:axId val="1353909343"/>
        <c:axId val="1937850655"/>
      </c:barChart>
      <c:catAx>
        <c:axId val="13539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850655"/>
        <c:crosses val="autoZero"/>
        <c:auto val="1"/>
        <c:lblAlgn val="ctr"/>
        <c:lblOffset val="100"/>
        <c:noMultiLvlLbl val="0"/>
      </c:catAx>
      <c:valAx>
        <c:axId val="193785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0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[MUSEKWA HADIJJA EXCEL ASSIGMENT.xlsx]pivots!PivotTable25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rated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pivots!$H$7</c:f>
              <c:strCache>
                <c:ptCount val="1"/>
                <c:pt idx="0">
                  <c:v>Total</c:v>
                </c:pt>
              </c:strCache>
            </c:strRef>
          </c:tx>
          <c:spPr>
            <a:solidFill>
              <a:schemeClr val="accent1"/>
            </a:solidFill>
            <a:ln>
              <a:noFill/>
            </a:ln>
            <a:effectLst/>
          </c:spPr>
          <c:invertIfNegative val="0"/>
          <c:cat>
            <c:strRef>
              <c:f>pivots!$G$8:$G$21</c:f>
              <c:strCache>
                <c:ptCount val="13"/>
                <c:pt idx="0">
                  <c:v>DIY File Folder, Office Drawer File Holder, Pen Holder, Desktop Storage Rack</c:v>
                </c:pt>
                <c:pt idx="1">
                  <c:v>Peacock  Throw Pillow Cushion Case For Home Car</c:v>
                </c:pt>
                <c:pt idx="2">
                  <c:v>LASA Aluminum Folding Truck Hand Cart - 68kg Max</c:v>
                </c:pt>
                <c:pt idx="3">
                  <c:v>Anti-Skid Absorbent Insulation Coaster  For Home Office</c:v>
                </c:pt>
                <c:pt idx="4">
                  <c:v>Bedroom Simple Floor Hanging Clothes Rack Single Pole Hat Rack - White</c:v>
                </c:pt>
                <c:pt idx="5">
                  <c:v>Classic Black Cat Cotton Hemp Pillow Case For Home Car</c:v>
                </c:pt>
                <c:pt idx="6">
                  <c:v>40cm Gold DIY Acrylic Wall Sticker Clock</c:v>
                </c:pt>
                <c:pt idx="7">
                  <c:v>Portable Home Small Air Humidifier 3-Speed Fan - Green</c:v>
                </c:pt>
                <c:pt idx="8">
                  <c:v>LASA FOLDING TABLE SERVING STAND</c:v>
                </c:pt>
                <c:pt idx="9">
                  <c:v>Weighing Scale Digital Bathroom Body Fat Scale USB-Black</c:v>
                </c:pt>
                <c:pt idx="10">
                  <c:v>12 Litre Insulated Lunch Box Grey</c:v>
                </c:pt>
                <c:pt idx="11">
                  <c:v>100 Pcs Crochet Hook Tool Set Knitting Hook Set With Box</c:v>
                </c:pt>
                <c:pt idx="12">
                  <c:v>53Pcs/Set Yarn Knitting Crochet Hooks With Bag - Fortune Cat</c:v>
                </c:pt>
              </c:strCache>
            </c:strRef>
          </c:cat>
          <c:val>
            <c:numRef>
              <c:f>pivots!$H$8:$H$21</c:f>
              <c:numCache>
                <c:formatCode>General</c:formatCode>
                <c:ptCount val="13"/>
                <c:pt idx="0">
                  <c:v>5</c:v>
                </c:pt>
                <c:pt idx="1">
                  <c:v>5</c:v>
                </c:pt>
                <c:pt idx="2">
                  <c:v>5</c:v>
                </c:pt>
                <c:pt idx="3">
                  <c:v>5</c:v>
                </c:pt>
                <c:pt idx="4">
                  <c:v>5</c:v>
                </c:pt>
                <c:pt idx="5">
                  <c:v>5</c:v>
                </c:pt>
                <c:pt idx="6">
                  <c:v>4.8</c:v>
                </c:pt>
                <c:pt idx="7">
                  <c:v>4.8</c:v>
                </c:pt>
                <c:pt idx="8">
                  <c:v>4.8</c:v>
                </c:pt>
                <c:pt idx="9">
                  <c:v>4.7</c:v>
                </c:pt>
                <c:pt idx="10">
                  <c:v>4.7</c:v>
                </c:pt>
                <c:pt idx="11">
                  <c:v>4.7</c:v>
                </c:pt>
                <c:pt idx="12">
                  <c:v>4.7</c:v>
                </c:pt>
              </c:numCache>
            </c:numRef>
          </c:val>
          <c:extLst>
            <c:ext xmlns:c16="http://schemas.microsoft.com/office/drawing/2014/chart" uri="{C3380CC4-5D6E-409C-BE32-E72D297353CC}">
              <c16:uniqueId val="{00000000-8EE4-4D85-A1A9-98559DBA2DA5}"/>
            </c:ext>
          </c:extLst>
        </c:ser>
        <c:dLbls>
          <c:showLegendKey val="0"/>
          <c:showVal val="0"/>
          <c:showCatName val="0"/>
          <c:showSerName val="0"/>
          <c:showPercent val="0"/>
          <c:showBubbleSize val="0"/>
        </c:dLbls>
        <c:gapWidth val="219"/>
        <c:overlap val="-27"/>
        <c:axId val="1000442639"/>
        <c:axId val="1079801999"/>
      </c:barChart>
      <c:catAx>
        <c:axId val="10004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01999"/>
        <c:crosses val="autoZero"/>
        <c:auto val="1"/>
        <c:lblAlgn val="ctr"/>
        <c:lblOffset val="100"/>
        <c:noMultiLvlLbl val="0"/>
      </c:catAx>
      <c:valAx>
        <c:axId val="107980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4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[MUSEKWA HADIJJA EXCEL ASSIGMENT.xlsx]pivots!PivotTable27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reviewed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pivots!$K$7</c:f>
              <c:strCache>
                <c:ptCount val="1"/>
                <c:pt idx="0">
                  <c:v>Total</c:v>
                </c:pt>
              </c:strCache>
            </c:strRef>
          </c:tx>
          <c:spPr>
            <a:solidFill>
              <a:schemeClr val="accent1"/>
            </a:solidFill>
            <a:ln>
              <a:noFill/>
            </a:ln>
            <a:effectLst/>
          </c:spPr>
          <c:invertIfNegative val="0"/>
          <c:cat>
            <c:strRef>
              <c:f>pivots!$J$8:$J$18</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pivots!$K$8:$K$18</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EB1-403C-8E7D-A045D89C09E6}"/>
            </c:ext>
          </c:extLst>
        </c:ser>
        <c:dLbls>
          <c:showLegendKey val="0"/>
          <c:showVal val="0"/>
          <c:showCatName val="0"/>
          <c:showSerName val="0"/>
          <c:showPercent val="0"/>
          <c:showBubbleSize val="0"/>
        </c:dLbls>
        <c:gapWidth val="219"/>
        <c:overlap val="-27"/>
        <c:axId val="1089834799"/>
        <c:axId val="1084308367"/>
      </c:barChart>
      <c:catAx>
        <c:axId val="108983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08367"/>
        <c:crosses val="autoZero"/>
        <c:auto val="1"/>
        <c:lblAlgn val="ctr"/>
        <c:lblOffset val="100"/>
        <c:noMultiLvlLbl val="0"/>
      </c:catAx>
      <c:valAx>
        <c:axId val="10843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[MUSEKWA HADIJJA EXCEL ASSIGMENT.xlsx]pivots!PivotTable29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discounted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pivots!$N$7</c:f>
              <c:strCache>
                <c:ptCount val="1"/>
                <c:pt idx="0">
                  <c:v>Total</c:v>
                </c:pt>
              </c:strCache>
            </c:strRef>
          </c:tx>
          <c:spPr>
            <a:solidFill>
              <a:schemeClr val="accent1"/>
            </a:solidFill>
            <a:ln>
              <a:noFill/>
            </a:ln>
            <a:effectLst/>
          </c:spPr>
          <c:invertIfNegative val="0"/>
          <c:cat>
            <c:strRef>
              <c:f>pivots!$M$8:$M$18</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pivots!$N$8:$N$18</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AF20-4350-A09C-F1AAE47D10AA}"/>
            </c:ext>
          </c:extLst>
        </c:ser>
        <c:dLbls>
          <c:showLegendKey val="0"/>
          <c:showVal val="0"/>
          <c:showCatName val="0"/>
          <c:showSerName val="0"/>
          <c:showPercent val="0"/>
          <c:showBubbleSize val="0"/>
        </c:dLbls>
        <c:gapWidth val="219"/>
        <c:overlap val="-27"/>
        <c:axId val="1867221551"/>
        <c:axId val="1088188479"/>
      </c:barChart>
      <c:catAx>
        <c:axId val="18672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88479"/>
        <c:crosses val="autoZero"/>
        <c:auto val="1"/>
        <c:lblAlgn val="ctr"/>
        <c:lblOffset val="100"/>
        <c:noMultiLvlLbl val="0"/>
      </c:catAx>
      <c:valAx>
        <c:axId val="1088188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22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a:t>
            </a:r>
            <a:r>
              <a:rPr lang="en-US" baseline="0"/>
              <a:t>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 (1) '!$F$1:$F$64</c:f>
              <c:strCache>
                <c:ptCount val="64"/>
                <c:pt idx="0">
                  <c:v>Reviews</c:v>
                </c:pt>
                <c:pt idx="1">
                  <c:v>Not provided</c:v>
                </c:pt>
                <c:pt idx="2">
                  <c:v>Not provided</c:v>
                </c:pt>
                <c:pt idx="3">
                  <c:v>Not provided</c:v>
                </c:pt>
                <c:pt idx="4">
                  <c:v>Not provided</c:v>
                </c:pt>
                <c:pt idx="5">
                  <c:v>Not provided</c:v>
                </c:pt>
                <c:pt idx="6">
                  <c:v>Not provided</c:v>
                </c:pt>
                <c:pt idx="7">
                  <c:v>Not provided</c:v>
                </c:pt>
                <c:pt idx="8">
                  <c:v>Not provided</c:v>
                </c:pt>
                <c:pt idx="9">
                  <c:v>Not provided</c:v>
                </c:pt>
                <c:pt idx="10">
                  <c:v>Not provided</c:v>
                </c:pt>
                <c:pt idx="11">
                  <c:v>Not provided</c:v>
                </c:pt>
                <c:pt idx="12">
                  <c:v>Not provided</c:v>
                </c:pt>
                <c:pt idx="13">
                  <c:v>Not provided</c:v>
                </c:pt>
                <c:pt idx="14">
                  <c:v>Not provided</c:v>
                </c:pt>
                <c:pt idx="15">
                  <c:v>Not provided</c:v>
                </c:pt>
                <c:pt idx="16">
                  <c:v>Not provided</c:v>
                </c:pt>
                <c:pt idx="17">
                  <c:v>Not provided</c:v>
                </c:pt>
                <c:pt idx="18">
                  <c:v>Not provided</c:v>
                </c:pt>
                <c:pt idx="19">
                  <c:v>Not provided</c:v>
                </c:pt>
                <c:pt idx="20">
                  <c:v>Not provided</c:v>
                </c:pt>
                <c:pt idx="21">
                  <c:v>Not provided</c:v>
                </c:pt>
                <c:pt idx="22">
                  <c:v>Not provided</c:v>
                </c:pt>
                <c:pt idx="23">
                  <c:v>Not provided</c:v>
                </c:pt>
                <c:pt idx="24">
                  <c:v>Not provided</c:v>
                </c:pt>
                <c:pt idx="25">
                  <c:v>Not provided</c:v>
                </c:pt>
                <c:pt idx="26">
                  <c:v>Not provided</c:v>
                </c:pt>
                <c:pt idx="27">
                  <c:v>Not provided</c:v>
                </c:pt>
                <c:pt idx="28">
                  <c:v>Not provided</c:v>
                </c:pt>
                <c:pt idx="29">
                  <c:v>Not provided</c:v>
                </c:pt>
                <c:pt idx="30">
                  <c:v>Not provided</c:v>
                </c:pt>
                <c:pt idx="31">
                  <c:v>Not provided</c:v>
                </c:pt>
                <c:pt idx="32">
                  <c:v>Not provided</c:v>
                </c:pt>
                <c:pt idx="33">
                  <c:v>Not provided</c:v>
                </c:pt>
                <c:pt idx="34">
                  <c:v>Not provided</c:v>
                </c:pt>
                <c:pt idx="35">
                  <c:v>Not provided</c:v>
                </c:pt>
                <c:pt idx="36">
                  <c:v>Not provided</c:v>
                </c:pt>
                <c:pt idx="37">
                  <c:v>Not provided</c:v>
                </c:pt>
                <c:pt idx="38">
                  <c:v>Not provided</c:v>
                </c:pt>
                <c:pt idx="39">
                  <c:v>Not provided</c:v>
                </c:pt>
                <c:pt idx="40">
                  <c:v>Not provided</c:v>
                </c:pt>
                <c:pt idx="41">
                  <c:v>Not provided</c:v>
                </c:pt>
                <c:pt idx="42">
                  <c:v>Not provided</c:v>
                </c:pt>
                <c:pt idx="43">
                  <c:v>Not provided</c:v>
                </c:pt>
                <c:pt idx="44">
                  <c:v>Not provided</c:v>
                </c:pt>
                <c:pt idx="45">
                  <c:v>Not provided</c:v>
                </c:pt>
                <c:pt idx="46">
                  <c:v>Not provided</c:v>
                </c:pt>
                <c:pt idx="47">
                  <c:v>Not provided</c:v>
                </c:pt>
                <c:pt idx="48">
                  <c:v>Not provided</c:v>
                </c:pt>
                <c:pt idx="49">
                  <c:v>Not provided</c:v>
                </c:pt>
                <c:pt idx="50">
                  <c:v>Not provided</c:v>
                </c:pt>
                <c:pt idx="51">
                  <c:v>Not provided</c:v>
                </c:pt>
                <c:pt idx="52">
                  <c:v>Not provided</c:v>
                </c:pt>
                <c:pt idx="53">
                  <c:v>Not provided</c:v>
                </c:pt>
                <c:pt idx="54">
                  <c:v>Not provided</c:v>
                </c:pt>
                <c:pt idx="55">
                  <c:v>Not provided</c:v>
                </c:pt>
                <c:pt idx="56">
                  <c:v>Not provided</c:v>
                </c:pt>
                <c:pt idx="57">
                  <c:v>Not provided</c:v>
                </c:pt>
                <c:pt idx="58">
                  <c:v>Not provided</c:v>
                </c:pt>
                <c:pt idx="59">
                  <c:v>Not provided</c:v>
                </c:pt>
                <c:pt idx="60">
                  <c:v>Not provided</c:v>
                </c:pt>
                <c:pt idx="61">
                  <c:v>Not provided</c:v>
                </c:pt>
                <c:pt idx="62">
                  <c:v>Not provided</c:v>
                </c:pt>
                <c:pt idx="63">
                  <c:v>Not provided</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'Excel_jumia (1) '!$D$65:$D$116</c:f>
              <c:numCache>
                <c:formatCode>0%</c:formatCode>
                <c:ptCount val="52"/>
                <c:pt idx="0">
                  <c:v>0.49</c:v>
                </c:pt>
                <c:pt idx="1">
                  <c:v>0.51</c:v>
                </c:pt>
                <c:pt idx="2">
                  <c:v>0.53</c:v>
                </c:pt>
                <c:pt idx="3">
                  <c:v>0.46</c:v>
                </c:pt>
                <c:pt idx="4">
                  <c:v>0.4</c:v>
                </c:pt>
                <c:pt idx="5">
                  <c:v>0.49</c:v>
                </c:pt>
                <c:pt idx="6">
                  <c:v>0.47</c:v>
                </c:pt>
                <c:pt idx="7">
                  <c:v>0.55000000000000004</c:v>
                </c:pt>
                <c:pt idx="8">
                  <c:v>0.26</c:v>
                </c:pt>
                <c:pt idx="9">
                  <c:v>0.34</c:v>
                </c:pt>
                <c:pt idx="10">
                  <c:v>0.27</c:v>
                </c:pt>
                <c:pt idx="11">
                  <c:v>0.34</c:v>
                </c:pt>
                <c:pt idx="12">
                  <c:v>0.37</c:v>
                </c:pt>
                <c:pt idx="13">
                  <c:v>0.24</c:v>
                </c:pt>
                <c:pt idx="14">
                  <c:v>0.35</c:v>
                </c:pt>
                <c:pt idx="15">
                  <c:v>0.49</c:v>
                </c:pt>
                <c:pt idx="16">
                  <c:v>0.25</c:v>
                </c:pt>
                <c:pt idx="17">
                  <c:v>0.19</c:v>
                </c:pt>
                <c:pt idx="18">
                  <c:v>0.27</c:v>
                </c:pt>
                <c:pt idx="19">
                  <c:v>0.42</c:v>
                </c:pt>
                <c:pt idx="20">
                  <c:v>0.38</c:v>
                </c:pt>
                <c:pt idx="21">
                  <c:v>0.38</c:v>
                </c:pt>
                <c:pt idx="22">
                  <c:v>0.23</c:v>
                </c:pt>
                <c:pt idx="23">
                  <c:v>0.41</c:v>
                </c:pt>
                <c:pt idx="24">
                  <c:v>0.48</c:v>
                </c:pt>
                <c:pt idx="25">
                  <c:v>0.52</c:v>
                </c:pt>
                <c:pt idx="26">
                  <c:v>0.54</c:v>
                </c:pt>
                <c:pt idx="27">
                  <c:v>0.33</c:v>
                </c:pt>
                <c:pt idx="28">
                  <c:v>0.3</c:v>
                </c:pt>
                <c:pt idx="29">
                  <c:v>0.47</c:v>
                </c:pt>
                <c:pt idx="30">
                  <c:v>0.2</c:v>
                </c:pt>
                <c:pt idx="31">
                  <c:v>0.09</c:v>
                </c:pt>
                <c:pt idx="32">
                  <c:v>0.35</c:v>
                </c:pt>
                <c:pt idx="33">
                  <c:v>0.37</c:v>
                </c:pt>
                <c:pt idx="34">
                  <c:v>0.32</c:v>
                </c:pt>
                <c:pt idx="35">
                  <c:v>0.18</c:v>
                </c:pt>
                <c:pt idx="36">
                  <c:v>0.45</c:v>
                </c:pt>
                <c:pt idx="37">
                  <c:v>0.53</c:v>
                </c:pt>
                <c:pt idx="38">
                  <c:v>0.54</c:v>
                </c:pt>
                <c:pt idx="39">
                  <c:v>0.39</c:v>
                </c:pt>
                <c:pt idx="40">
                  <c:v>0.28999999999999998</c:v>
                </c:pt>
                <c:pt idx="41">
                  <c:v>0.43</c:v>
                </c:pt>
                <c:pt idx="42">
                  <c:v>0.22</c:v>
                </c:pt>
                <c:pt idx="43">
                  <c:v>0.49</c:v>
                </c:pt>
                <c:pt idx="44">
                  <c:v>0.52</c:v>
                </c:pt>
                <c:pt idx="45">
                  <c:v>0.45</c:v>
                </c:pt>
                <c:pt idx="46">
                  <c:v>0.5</c:v>
                </c:pt>
                <c:pt idx="47">
                  <c:v>0.43</c:v>
                </c:pt>
                <c:pt idx="48">
                  <c:v>0.47</c:v>
                </c:pt>
                <c:pt idx="49">
                  <c:v>0.45</c:v>
                </c:pt>
                <c:pt idx="50">
                  <c:v>0.55000000000000004</c:v>
                </c:pt>
                <c:pt idx="51">
                  <c:v>0.47</c:v>
                </c:pt>
              </c:numCache>
            </c:numRef>
          </c:xVal>
          <c:yVal>
            <c:numRef>
              <c:f>'Excel_jumia (1) '!$F$65:$F$116</c:f>
              <c:numCache>
                <c:formatCode>General</c:formatCode>
                <c:ptCount val="52"/>
                <c:pt idx="0">
                  <c:v>3</c:v>
                </c:pt>
                <c:pt idx="1">
                  <c:v>2</c:v>
                </c:pt>
                <c:pt idx="2">
                  <c:v>2</c:v>
                </c:pt>
                <c:pt idx="3">
                  <c:v>2</c:v>
                </c:pt>
                <c:pt idx="4">
                  <c:v>1</c:v>
                </c:pt>
                <c:pt idx="5">
                  <c:v>1</c:v>
                </c:pt>
                <c:pt idx="6">
                  <c:v>12</c:v>
                </c:pt>
                <c:pt idx="7">
                  <c:v>5</c:v>
                </c:pt>
                <c:pt idx="8">
                  <c:v>5</c:v>
                </c:pt>
                <c:pt idx="9">
                  <c:v>39</c:v>
                </c:pt>
                <c:pt idx="10">
                  <c:v>20</c:v>
                </c:pt>
                <c:pt idx="11">
                  <c:v>12</c:v>
                </c:pt>
                <c:pt idx="12">
                  <c:v>7</c:v>
                </c:pt>
                <c:pt idx="13">
                  <c:v>55</c:v>
                </c:pt>
                <c:pt idx="14">
                  <c:v>49</c:v>
                </c:pt>
                <c:pt idx="15">
                  <c:v>44</c:v>
                </c:pt>
                <c:pt idx="16">
                  <c:v>24</c:v>
                </c:pt>
                <c:pt idx="17">
                  <c:v>5</c:v>
                </c:pt>
                <c:pt idx="18">
                  <c:v>32</c:v>
                </c:pt>
                <c:pt idx="19">
                  <c:v>6</c:v>
                </c:pt>
                <c:pt idx="20">
                  <c:v>2</c:v>
                </c:pt>
                <c:pt idx="21">
                  <c:v>2</c:v>
                </c:pt>
                <c:pt idx="22">
                  <c:v>14</c:v>
                </c:pt>
                <c:pt idx="23">
                  <c:v>36</c:v>
                </c:pt>
                <c:pt idx="24">
                  <c:v>9</c:v>
                </c:pt>
                <c:pt idx="25">
                  <c:v>9</c:v>
                </c:pt>
                <c:pt idx="26">
                  <c:v>7</c:v>
                </c:pt>
                <c:pt idx="27">
                  <c:v>9</c:v>
                </c:pt>
                <c:pt idx="28">
                  <c:v>20</c:v>
                </c:pt>
                <c:pt idx="29">
                  <c:v>14</c:v>
                </c:pt>
                <c:pt idx="30">
                  <c:v>12</c:v>
                </c:pt>
                <c:pt idx="31">
                  <c:v>15</c:v>
                </c:pt>
                <c:pt idx="32">
                  <c:v>6</c:v>
                </c:pt>
                <c:pt idx="33">
                  <c:v>2</c:v>
                </c:pt>
                <c:pt idx="34">
                  <c:v>13</c:v>
                </c:pt>
                <c:pt idx="35">
                  <c:v>12</c:v>
                </c:pt>
                <c:pt idx="36">
                  <c:v>5</c:v>
                </c:pt>
                <c:pt idx="37">
                  <c:v>13</c:v>
                </c:pt>
                <c:pt idx="38">
                  <c:v>10</c:v>
                </c:pt>
                <c:pt idx="39">
                  <c:v>5</c:v>
                </c:pt>
                <c:pt idx="40">
                  <c:v>5</c:v>
                </c:pt>
                <c:pt idx="41">
                  <c:v>5</c:v>
                </c:pt>
                <c:pt idx="42">
                  <c:v>16</c:v>
                </c:pt>
                <c:pt idx="43">
                  <c:v>69</c:v>
                </c:pt>
                <c:pt idx="44">
                  <c:v>15</c:v>
                </c:pt>
                <c:pt idx="45">
                  <c:v>17</c:v>
                </c:pt>
                <c:pt idx="46">
                  <c:v>7</c:v>
                </c:pt>
                <c:pt idx="47">
                  <c:v>6</c:v>
                </c:pt>
                <c:pt idx="48">
                  <c:v>6</c:v>
                </c:pt>
                <c:pt idx="49">
                  <c:v>6</c:v>
                </c:pt>
                <c:pt idx="50">
                  <c:v>13</c:v>
                </c:pt>
                <c:pt idx="51">
                  <c:v>7</c:v>
                </c:pt>
              </c:numCache>
            </c:numRef>
          </c:yVal>
          <c:smooth val="0"/>
          <c:extLst>
            <c:ext xmlns:c16="http://schemas.microsoft.com/office/drawing/2014/chart" uri="{C3380CC4-5D6E-409C-BE32-E72D297353CC}">
              <c16:uniqueId val="{00000000-92AF-4F69-B246-312CFE44F42E}"/>
            </c:ext>
          </c:extLst>
        </c:ser>
        <c:dLbls>
          <c:showLegendKey val="0"/>
          <c:showVal val="0"/>
          <c:showCatName val="0"/>
          <c:showSerName val="0"/>
          <c:showPercent val="0"/>
          <c:showBubbleSize val="0"/>
        </c:dLbls>
        <c:axId val="1000444239"/>
        <c:axId val="1083290159"/>
      </c:scatterChart>
      <c:valAx>
        <c:axId val="1000444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90159"/>
        <c:crosses val="autoZero"/>
        <c:crossBetween val="midCat"/>
      </c:valAx>
      <c:valAx>
        <c:axId val="108329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44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 (1) '!$G$1:$G$64</c:f>
              <c:strCache>
                <c:ptCount val="64"/>
                <c:pt idx="0">
                  <c:v>Ratingd</c:v>
                </c:pt>
                <c:pt idx="1">
                  <c:v>Not provided</c:v>
                </c:pt>
                <c:pt idx="2">
                  <c:v>Not provided</c:v>
                </c:pt>
                <c:pt idx="3">
                  <c:v>Not provided</c:v>
                </c:pt>
                <c:pt idx="4">
                  <c:v>Not provided</c:v>
                </c:pt>
                <c:pt idx="5">
                  <c:v>Not provided</c:v>
                </c:pt>
                <c:pt idx="6">
                  <c:v>Not provided</c:v>
                </c:pt>
                <c:pt idx="7">
                  <c:v>Not provided</c:v>
                </c:pt>
                <c:pt idx="8">
                  <c:v>Not provided</c:v>
                </c:pt>
                <c:pt idx="9">
                  <c:v>Not provided</c:v>
                </c:pt>
                <c:pt idx="10">
                  <c:v>Not provided</c:v>
                </c:pt>
                <c:pt idx="11">
                  <c:v>Not provided</c:v>
                </c:pt>
                <c:pt idx="12">
                  <c:v>Not provided</c:v>
                </c:pt>
                <c:pt idx="13">
                  <c:v>Not provided</c:v>
                </c:pt>
                <c:pt idx="14">
                  <c:v>Not provided</c:v>
                </c:pt>
                <c:pt idx="15">
                  <c:v>Not provided</c:v>
                </c:pt>
                <c:pt idx="16">
                  <c:v>Not provided</c:v>
                </c:pt>
                <c:pt idx="17">
                  <c:v>Not provided</c:v>
                </c:pt>
                <c:pt idx="18">
                  <c:v>Not provided</c:v>
                </c:pt>
                <c:pt idx="19">
                  <c:v>Not provided</c:v>
                </c:pt>
                <c:pt idx="20">
                  <c:v>Not provided</c:v>
                </c:pt>
                <c:pt idx="21">
                  <c:v>Not provided</c:v>
                </c:pt>
                <c:pt idx="22">
                  <c:v>Not provided</c:v>
                </c:pt>
                <c:pt idx="23">
                  <c:v>Not provided</c:v>
                </c:pt>
                <c:pt idx="24">
                  <c:v>Not provided</c:v>
                </c:pt>
                <c:pt idx="25">
                  <c:v>Not provided</c:v>
                </c:pt>
                <c:pt idx="26">
                  <c:v>Not provided</c:v>
                </c:pt>
                <c:pt idx="27">
                  <c:v>Not provided</c:v>
                </c:pt>
                <c:pt idx="28">
                  <c:v>Not provided</c:v>
                </c:pt>
                <c:pt idx="29">
                  <c:v>Not provided</c:v>
                </c:pt>
                <c:pt idx="30">
                  <c:v>Not provided</c:v>
                </c:pt>
                <c:pt idx="31">
                  <c:v>Not provided</c:v>
                </c:pt>
                <c:pt idx="32">
                  <c:v>Not provided</c:v>
                </c:pt>
                <c:pt idx="33">
                  <c:v>Not provided</c:v>
                </c:pt>
                <c:pt idx="34">
                  <c:v>Not provided</c:v>
                </c:pt>
                <c:pt idx="35">
                  <c:v>Not provided</c:v>
                </c:pt>
                <c:pt idx="36">
                  <c:v>Not provided</c:v>
                </c:pt>
                <c:pt idx="37">
                  <c:v>Not provided</c:v>
                </c:pt>
                <c:pt idx="38">
                  <c:v>Not provided</c:v>
                </c:pt>
                <c:pt idx="39">
                  <c:v>Not provided</c:v>
                </c:pt>
                <c:pt idx="40">
                  <c:v>Not provided</c:v>
                </c:pt>
                <c:pt idx="41">
                  <c:v>Not provided</c:v>
                </c:pt>
                <c:pt idx="42">
                  <c:v>Not provided</c:v>
                </c:pt>
                <c:pt idx="43">
                  <c:v>Not provided</c:v>
                </c:pt>
                <c:pt idx="44">
                  <c:v>Not provided</c:v>
                </c:pt>
                <c:pt idx="45">
                  <c:v>Not provided</c:v>
                </c:pt>
                <c:pt idx="46">
                  <c:v>Not provided</c:v>
                </c:pt>
                <c:pt idx="47">
                  <c:v>Not provided</c:v>
                </c:pt>
                <c:pt idx="48">
                  <c:v>Not provided</c:v>
                </c:pt>
                <c:pt idx="49">
                  <c:v>Not provided</c:v>
                </c:pt>
                <c:pt idx="50">
                  <c:v>Not provided</c:v>
                </c:pt>
                <c:pt idx="51">
                  <c:v>Not provided</c:v>
                </c:pt>
                <c:pt idx="52">
                  <c:v>Not provided</c:v>
                </c:pt>
                <c:pt idx="53">
                  <c:v>Not provided</c:v>
                </c:pt>
                <c:pt idx="54">
                  <c:v>Not provided</c:v>
                </c:pt>
                <c:pt idx="55">
                  <c:v>Not provided</c:v>
                </c:pt>
                <c:pt idx="56">
                  <c:v>Not provided</c:v>
                </c:pt>
                <c:pt idx="57">
                  <c:v>Not provided</c:v>
                </c:pt>
                <c:pt idx="58">
                  <c:v>Not provided</c:v>
                </c:pt>
                <c:pt idx="59">
                  <c:v>Not provided</c:v>
                </c:pt>
                <c:pt idx="60">
                  <c:v>Not provided</c:v>
                </c:pt>
                <c:pt idx="61">
                  <c:v>Not provided</c:v>
                </c:pt>
                <c:pt idx="62">
                  <c:v>Not provided</c:v>
                </c:pt>
                <c:pt idx="63">
                  <c:v>Not provided</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'Excel_jumia (1) '!$F$65:$F$116</c:f>
              <c:numCache>
                <c:formatCode>General</c:formatCode>
                <c:ptCount val="52"/>
                <c:pt idx="0">
                  <c:v>3</c:v>
                </c:pt>
                <c:pt idx="1">
                  <c:v>2</c:v>
                </c:pt>
                <c:pt idx="2">
                  <c:v>2</c:v>
                </c:pt>
                <c:pt idx="3">
                  <c:v>2</c:v>
                </c:pt>
                <c:pt idx="4">
                  <c:v>1</c:v>
                </c:pt>
                <c:pt idx="5">
                  <c:v>1</c:v>
                </c:pt>
                <c:pt idx="6">
                  <c:v>12</c:v>
                </c:pt>
                <c:pt idx="7">
                  <c:v>5</c:v>
                </c:pt>
                <c:pt idx="8">
                  <c:v>5</c:v>
                </c:pt>
                <c:pt idx="9">
                  <c:v>39</c:v>
                </c:pt>
                <c:pt idx="10">
                  <c:v>20</c:v>
                </c:pt>
                <c:pt idx="11">
                  <c:v>12</c:v>
                </c:pt>
                <c:pt idx="12">
                  <c:v>7</c:v>
                </c:pt>
                <c:pt idx="13">
                  <c:v>55</c:v>
                </c:pt>
                <c:pt idx="14">
                  <c:v>49</c:v>
                </c:pt>
                <c:pt idx="15">
                  <c:v>44</c:v>
                </c:pt>
                <c:pt idx="16">
                  <c:v>24</c:v>
                </c:pt>
                <c:pt idx="17">
                  <c:v>5</c:v>
                </c:pt>
                <c:pt idx="18">
                  <c:v>32</c:v>
                </c:pt>
                <c:pt idx="19">
                  <c:v>6</c:v>
                </c:pt>
                <c:pt idx="20">
                  <c:v>2</c:v>
                </c:pt>
                <c:pt idx="21">
                  <c:v>2</c:v>
                </c:pt>
                <c:pt idx="22">
                  <c:v>14</c:v>
                </c:pt>
                <c:pt idx="23">
                  <c:v>36</c:v>
                </c:pt>
                <c:pt idx="24">
                  <c:v>9</c:v>
                </c:pt>
                <c:pt idx="25">
                  <c:v>9</c:v>
                </c:pt>
                <c:pt idx="26">
                  <c:v>7</c:v>
                </c:pt>
                <c:pt idx="27">
                  <c:v>9</c:v>
                </c:pt>
                <c:pt idx="28">
                  <c:v>20</c:v>
                </c:pt>
                <c:pt idx="29">
                  <c:v>14</c:v>
                </c:pt>
                <c:pt idx="30">
                  <c:v>12</c:v>
                </c:pt>
                <c:pt idx="31">
                  <c:v>15</c:v>
                </c:pt>
                <c:pt idx="32">
                  <c:v>6</c:v>
                </c:pt>
                <c:pt idx="33">
                  <c:v>2</c:v>
                </c:pt>
                <c:pt idx="34">
                  <c:v>13</c:v>
                </c:pt>
                <c:pt idx="35">
                  <c:v>12</c:v>
                </c:pt>
                <c:pt idx="36">
                  <c:v>5</c:v>
                </c:pt>
                <c:pt idx="37">
                  <c:v>13</c:v>
                </c:pt>
                <c:pt idx="38">
                  <c:v>10</c:v>
                </c:pt>
                <c:pt idx="39">
                  <c:v>5</c:v>
                </c:pt>
                <c:pt idx="40">
                  <c:v>5</c:v>
                </c:pt>
                <c:pt idx="41">
                  <c:v>5</c:v>
                </c:pt>
                <c:pt idx="42">
                  <c:v>16</c:v>
                </c:pt>
                <c:pt idx="43">
                  <c:v>69</c:v>
                </c:pt>
                <c:pt idx="44">
                  <c:v>15</c:v>
                </c:pt>
                <c:pt idx="45">
                  <c:v>17</c:v>
                </c:pt>
                <c:pt idx="46">
                  <c:v>7</c:v>
                </c:pt>
                <c:pt idx="47">
                  <c:v>6</c:v>
                </c:pt>
                <c:pt idx="48">
                  <c:v>6</c:v>
                </c:pt>
                <c:pt idx="49">
                  <c:v>6</c:v>
                </c:pt>
                <c:pt idx="50">
                  <c:v>13</c:v>
                </c:pt>
                <c:pt idx="51">
                  <c:v>7</c:v>
                </c:pt>
              </c:numCache>
            </c:numRef>
          </c:xVal>
          <c:yVal>
            <c:numRef>
              <c:f>'Excel_jumia (1) '!$G$65:$G$116</c:f>
              <c:numCache>
                <c:formatCode>General</c:formatCode>
                <c:ptCount val="52"/>
                <c:pt idx="0">
                  <c:v>5</c:v>
                </c:pt>
                <c:pt idx="1">
                  <c:v>5</c:v>
                </c:pt>
                <c:pt idx="2">
                  <c:v>5</c:v>
                </c:pt>
                <c:pt idx="3">
                  <c:v>5</c:v>
                </c:pt>
                <c:pt idx="4">
                  <c:v>5</c:v>
                </c:pt>
                <c:pt idx="5">
                  <c:v>5</c:v>
                </c:pt>
                <c:pt idx="6">
                  <c:v>4.8</c:v>
                </c:pt>
                <c:pt idx="7">
                  <c:v>4.8</c:v>
                </c:pt>
                <c:pt idx="8">
                  <c:v>4.8</c:v>
                </c:pt>
                <c:pt idx="9">
                  <c:v>4.7</c:v>
                </c:pt>
                <c:pt idx="10">
                  <c:v>4.7</c:v>
                </c:pt>
                <c:pt idx="11">
                  <c:v>4.7</c:v>
                </c:pt>
                <c:pt idx="12">
                  <c:v>4.7</c:v>
                </c:pt>
                <c:pt idx="13">
                  <c:v>4.5999999999999996</c:v>
                </c:pt>
                <c:pt idx="14">
                  <c:v>4.5999999999999996</c:v>
                </c:pt>
                <c:pt idx="15">
                  <c:v>4.5999999999999996</c:v>
                </c:pt>
                <c:pt idx="16">
                  <c:v>4.5999999999999996</c:v>
                </c:pt>
                <c:pt idx="17">
                  <c:v>4.5999999999999996</c:v>
                </c:pt>
                <c:pt idx="18">
                  <c:v>4.5</c:v>
                </c:pt>
                <c:pt idx="19">
                  <c:v>4.5</c:v>
                </c:pt>
                <c:pt idx="20">
                  <c:v>4.5</c:v>
                </c:pt>
                <c:pt idx="21">
                  <c:v>4.5</c:v>
                </c:pt>
                <c:pt idx="22">
                  <c:v>4.4000000000000004</c:v>
                </c:pt>
                <c:pt idx="23">
                  <c:v>4.3</c:v>
                </c:pt>
                <c:pt idx="24">
                  <c:v>4.3</c:v>
                </c:pt>
                <c:pt idx="25">
                  <c:v>4.3</c:v>
                </c:pt>
                <c:pt idx="26">
                  <c:v>4.3</c:v>
                </c:pt>
                <c:pt idx="27">
                  <c:v>4.2</c:v>
                </c:pt>
                <c:pt idx="28">
                  <c:v>4.0999999999999996</c:v>
                </c:pt>
                <c:pt idx="29">
                  <c:v>4.0999999999999996</c:v>
                </c:pt>
                <c:pt idx="30">
                  <c:v>4.0999999999999996</c:v>
                </c:pt>
                <c:pt idx="31">
                  <c:v>4</c:v>
                </c:pt>
                <c:pt idx="32">
                  <c:v>4</c:v>
                </c:pt>
                <c:pt idx="33">
                  <c:v>4</c:v>
                </c:pt>
                <c:pt idx="34">
                  <c:v>3.8</c:v>
                </c:pt>
                <c:pt idx="35">
                  <c:v>3.8</c:v>
                </c:pt>
                <c:pt idx="36">
                  <c:v>3.8</c:v>
                </c:pt>
                <c:pt idx="37">
                  <c:v>3.3</c:v>
                </c:pt>
                <c:pt idx="38">
                  <c:v>3</c:v>
                </c:pt>
                <c:pt idx="39">
                  <c:v>3</c:v>
                </c:pt>
                <c:pt idx="40">
                  <c:v>3</c:v>
                </c:pt>
                <c:pt idx="41">
                  <c:v>3</c:v>
                </c:pt>
                <c:pt idx="42">
                  <c:v>2.9</c:v>
                </c:pt>
                <c:pt idx="43">
                  <c:v>2.8</c:v>
                </c:pt>
                <c:pt idx="44">
                  <c:v>2.7</c:v>
                </c:pt>
                <c:pt idx="45">
                  <c:v>2.6</c:v>
                </c:pt>
                <c:pt idx="46">
                  <c:v>2.2999999999999998</c:v>
                </c:pt>
                <c:pt idx="47">
                  <c:v>2.2999999999999998</c:v>
                </c:pt>
                <c:pt idx="48">
                  <c:v>2.2000000000000002</c:v>
                </c:pt>
                <c:pt idx="49">
                  <c:v>2.2000000000000002</c:v>
                </c:pt>
                <c:pt idx="50">
                  <c:v>2.1</c:v>
                </c:pt>
                <c:pt idx="51">
                  <c:v>2.1</c:v>
                </c:pt>
              </c:numCache>
            </c:numRef>
          </c:yVal>
          <c:smooth val="0"/>
          <c:extLst>
            <c:ext xmlns:c16="http://schemas.microsoft.com/office/drawing/2014/chart" uri="{C3380CC4-5D6E-409C-BE32-E72D297353CC}">
              <c16:uniqueId val="{00000000-2B8B-4BB0-9E30-F7E41E82C49E}"/>
            </c:ext>
          </c:extLst>
        </c:ser>
        <c:dLbls>
          <c:showLegendKey val="0"/>
          <c:showVal val="0"/>
          <c:showCatName val="0"/>
          <c:showSerName val="0"/>
          <c:showPercent val="0"/>
          <c:showBubbleSize val="0"/>
        </c:dLbls>
        <c:axId val="992098367"/>
        <c:axId val="1107622031"/>
      </c:scatterChart>
      <c:valAx>
        <c:axId val="99209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22031"/>
        <c:crosses val="autoZero"/>
        <c:crossBetween val="midCat"/>
      </c:valAx>
      <c:valAx>
        <c:axId val="110762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983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Average</c:v>
              </c:pt>
              <c:pt idx="1">
                <c:v>Excellent</c:v>
              </c:pt>
              <c:pt idx="2">
                <c:v>Poor</c:v>
              </c:pt>
            </c:strLit>
          </c:cat>
          <c:val>
            <c:numLit>
              <c:formatCode>General</c:formatCode>
              <c:ptCount val="3"/>
              <c:pt idx="0">
                <c:v>20</c:v>
              </c:pt>
              <c:pt idx="1">
                <c:v>85</c:v>
              </c:pt>
              <c:pt idx="2">
                <c:v>10</c:v>
              </c:pt>
            </c:numLit>
          </c:val>
          <c:extLst>
            <c:ext xmlns:c16="http://schemas.microsoft.com/office/drawing/2014/chart" uri="{C3380CC4-5D6E-409C-BE32-E72D297353CC}">
              <c16:uniqueId val="{00000000-4E83-4B3B-B123-4DB344DF18FC}"/>
            </c:ext>
          </c:extLst>
        </c:ser>
        <c:dLbls>
          <c:showLegendKey val="0"/>
          <c:showVal val="0"/>
          <c:showCatName val="0"/>
          <c:showSerName val="0"/>
          <c:showPercent val="0"/>
          <c:showBubbleSize val="0"/>
        </c:dLbls>
        <c:gapWidth val="219"/>
        <c:overlap val="-27"/>
        <c:axId val="963917871"/>
        <c:axId val="684572047"/>
      </c:barChart>
      <c:catAx>
        <c:axId val="96391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72047"/>
        <c:crosses val="autoZero"/>
        <c:auto val="1"/>
        <c:lblAlgn val="ctr"/>
        <c:lblOffset val="100"/>
        <c:noMultiLvlLbl val="0"/>
      </c:catAx>
      <c:valAx>
        <c:axId val="68457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15</xdr:col>
      <xdr:colOff>304800</xdr:colOff>
      <xdr:row>17</xdr:row>
      <xdr:rowOff>165100</xdr:rowOff>
    </xdr:to>
    <xdr:graphicFrame macro="">
      <xdr:nvGraphicFramePr>
        <xdr:cNvPr id="27" name="Chart 26">
          <a:extLst>
            <a:ext uri="{FF2B5EF4-FFF2-40B4-BE49-F238E27FC236}">
              <a16:creationId xmlns:a16="http://schemas.microsoft.com/office/drawing/2014/main" id="{0399AD70-8B2B-473A-80A8-647D5B09B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6</xdr:col>
      <xdr:colOff>438150</xdr:colOff>
      <xdr:row>34</xdr:row>
      <xdr:rowOff>165100</xdr:rowOff>
    </xdr:to>
    <xdr:graphicFrame macro="">
      <xdr:nvGraphicFramePr>
        <xdr:cNvPr id="29" name="Chart 28">
          <a:extLst>
            <a:ext uri="{FF2B5EF4-FFF2-40B4-BE49-F238E27FC236}">
              <a16:creationId xmlns:a16="http://schemas.microsoft.com/office/drawing/2014/main" id="{C43E072B-E6B0-412A-85C2-E63A9B497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20</xdr:row>
      <xdr:rowOff>0</xdr:rowOff>
    </xdr:from>
    <xdr:to>
      <xdr:col>15</xdr:col>
      <xdr:colOff>304800</xdr:colOff>
      <xdr:row>34</xdr:row>
      <xdr:rowOff>165100</xdr:rowOff>
    </xdr:to>
    <xdr:graphicFrame macro="">
      <xdr:nvGraphicFramePr>
        <xdr:cNvPr id="31" name="Chart 30">
          <a:extLst>
            <a:ext uri="{FF2B5EF4-FFF2-40B4-BE49-F238E27FC236}">
              <a16:creationId xmlns:a16="http://schemas.microsoft.com/office/drawing/2014/main" id="{C54F87A6-D9B2-40DF-8E22-E7A196013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35</xdr:row>
      <xdr:rowOff>69850</xdr:rowOff>
    </xdr:from>
    <xdr:to>
      <xdr:col>9</xdr:col>
      <xdr:colOff>152400</xdr:colOff>
      <xdr:row>53</xdr:row>
      <xdr:rowOff>101600</xdr:rowOff>
    </xdr:to>
    <xdr:graphicFrame macro="">
      <xdr:nvGraphicFramePr>
        <xdr:cNvPr id="33" name="Chart 32">
          <a:extLst>
            <a:ext uri="{FF2B5EF4-FFF2-40B4-BE49-F238E27FC236}">
              <a16:creationId xmlns:a16="http://schemas.microsoft.com/office/drawing/2014/main" id="{71CFB164-69A7-480E-A692-6B3C46E7B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0</xdr:rowOff>
    </xdr:from>
    <xdr:to>
      <xdr:col>6</xdr:col>
      <xdr:colOff>438150</xdr:colOff>
      <xdr:row>68</xdr:row>
      <xdr:rowOff>165100</xdr:rowOff>
    </xdr:to>
    <xdr:graphicFrame macro="">
      <xdr:nvGraphicFramePr>
        <xdr:cNvPr id="36" name="Chart 35">
          <a:extLst>
            <a:ext uri="{FF2B5EF4-FFF2-40B4-BE49-F238E27FC236}">
              <a16:creationId xmlns:a16="http://schemas.microsoft.com/office/drawing/2014/main" id="{0548E68F-03A9-433A-B1E1-B9D194BA2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54</xdr:row>
      <xdr:rowOff>0</xdr:rowOff>
    </xdr:from>
    <xdr:to>
      <xdr:col>15</xdr:col>
      <xdr:colOff>304800</xdr:colOff>
      <xdr:row>68</xdr:row>
      <xdr:rowOff>165100</xdr:rowOff>
    </xdr:to>
    <xdr:graphicFrame macro="">
      <xdr:nvGraphicFramePr>
        <xdr:cNvPr id="37" name="Chart 36">
          <a:extLst>
            <a:ext uri="{FF2B5EF4-FFF2-40B4-BE49-F238E27FC236}">
              <a16:creationId xmlns:a16="http://schemas.microsoft.com/office/drawing/2014/main" id="{B480DFD6-6DE9-4A7D-A45F-470E19F46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71</xdr:row>
      <xdr:rowOff>0</xdr:rowOff>
    </xdr:from>
    <xdr:to>
      <xdr:col>1</xdr:col>
      <xdr:colOff>679450</xdr:colOff>
      <xdr:row>84</xdr:row>
      <xdr:rowOff>130175</xdr:rowOff>
    </xdr:to>
    <mc:AlternateContent xmlns:mc="http://schemas.openxmlformats.org/markup-compatibility/2006" xmlns:a14="http://schemas.microsoft.com/office/drawing/2010/main">
      <mc:Choice Requires="a14">
        <xdr:graphicFrame macro="">
          <xdr:nvGraphicFramePr>
            <xdr:cNvPr id="39" name="Rating category">
              <a:extLst>
                <a:ext uri="{FF2B5EF4-FFF2-40B4-BE49-F238E27FC236}">
                  <a16:creationId xmlns:a16="http://schemas.microsoft.com/office/drawing/2014/main" id="{79468914-5FBE-408E-BB82-326C231DCF2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1318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71</xdr:row>
      <xdr:rowOff>0</xdr:rowOff>
    </xdr:from>
    <xdr:to>
      <xdr:col>11</xdr:col>
      <xdr:colOff>0</xdr:colOff>
      <xdr:row>84</xdr:row>
      <xdr:rowOff>130175</xdr:rowOff>
    </xdr:to>
    <mc:AlternateContent xmlns:mc="http://schemas.openxmlformats.org/markup-compatibility/2006" xmlns:a14="http://schemas.microsoft.com/office/drawing/2010/main">
      <mc:Choice Requires="a14">
        <xdr:graphicFrame macro="">
          <xdr:nvGraphicFramePr>
            <xdr:cNvPr id="40" name="Discount category">
              <a:extLst>
                <a:ext uri="{FF2B5EF4-FFF2-40B4-BE49-F238E27FC236}">
                  <a16:creationId xmlns:a16="http://schemas.microsoft.com/office/drawing/2014/main" id="{0405F8B4-E16A-4B82-9272-ED5F5A0E3B85}"/>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207250" y="1318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463550</xdr:colOff>
      <xdr:row>3</xdr:row>
      <xdr:rowOff>6350</xdr:rowOff>
    </xdr:from>
    <xdr:to>
      <xdr:col>5</xdr:col>
      <xdr:colOff>12700</xdr:colOff>
      <xdr:row>17</xdr:row>
      <xdr:rowOff>171450</xdr:rowOff>
    </xdr:to>
    <xdr:graphicFrame macro="">
      <xdr:nvGraphicFramePr>
        <xdr:cNvPr id="12" name="Chart 11">
          <a:extLst>
            <a:ext uri="{FF2B5EF4-FFF2-40B4-BE49-F238E27FC236}">
              <a16:creationId xmlns:a16="http://schemas.microsoft.com/office/drawing/2014/main" id="{A563919B-E8F6-4247-BF79-FB9C09556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106.225992245367" createdVersion="6" refreshedVersion="6" minRefreshableVersion="3" recordCount="115" xr:uid="{00000000-000A-0000-FFFF-FFFF16000000}">
  <cacheSource type="worksheet">
    <worksheetSource ref="A1:J116" sheet="Excel_jumia (1) "/>
  </cacheSource>
  <cacheFields count="10">
    <cacheField name="Product" numFmtId="0">
      <sharedItems count="109">
        <s v="1/2/3 Seater Elastic Sofa Cover,Living Room/Home Decor Chair Cover-Grey"/>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Genebre 115 In 1 Screwdriver Repairing Tool Set For IPhone Cellphone Hand Tool"/>
        <s v="Cute Christmas Fence Garden Decorations For Holiday Home"/>
        <s v="Angle Measuring Tool Full Metal Multi Angle Measuring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1">
      <sharedItems containsMixedTypes="1" containsNumber="1" containsInteger="1" minValue="38" maxValue="3750"/>
    </cacheField>
    <cacheField name="old price" numFmtId="1">
      <sharedItems containsMixedTypes="1" containsNumber="1" containsInteger="1" minValue="80" maxValue="6143"/>
    </cacheField>
    <cacheField name="Discount" numFmtId="9">
      <sharedItems containsSemiMixedTypes="0" containsString="0" containsNumber="1" minValue="0.01" maxValue="0.64"/>
    </cacheField>
    <cacheField name="Review" numFmtId="0">
      <sharedItems containsMixedTypes="1" containsNumber="1" containsInteger="1" minValue="-69" maxValue="-1"/>
    </cacheField>
    <cacheField name="Reviews" numFmtId="0">
      <sharedItems containsMixedTypes="1" containsNumber="1" containsInteger="1" minValue="1" maxValue="69"/>
    </cacheField>
    <cacheField name="Ratingd" numFmtId="0">
      <sharedItems containsMixedTypes="1" containsNumber="1" minValue="2.1" maxValue="5" count="21">
        <n v="4.5"/>
        <n v="3"/>
        <s v="Not provided"/>
        <n v="4"/>
        <n v="4.5999999999999996"/>
        <n v="3.8"/>
        <n v="2.1"/>
        <n v="4.3"/>
        <n v="5"/>
        <n v="4.7"/>
        <n v="4.0999999999999996"/>
        <n v="4.8"/>
        <n v="4.2"/>
        <n v="4.4000000000000004"/>
        <n v="2.9"/>
        <n v="2.2999999999999998"/>
        <n v="2.2000000000000002"/>
        <n v="2.8"/>
        <n v="2.6"/>
        <n v="2.7"/>
        <n v="3.3"/>
      </sharedItems>
    </cacheField>
    <cacheField name="Discount amount" numFmtId="1">
      <sharedItems containsMixedTypes="1" containsNumber="1" containsInteger="1" minValue="24" maxValue="2585" count="103">
        <e v="#VALUE!"/>
        <n v="2393"/>
        <n v="948"/>
        <n v="153"/>
        <n v="291"/>
        <n v="700"/>
        <n v="640"/>
        <n v="1011"/>
        <n v="1721"/>
        <n v="713"/>
        <n v="940"/>
        <n v="1880"/>
        <n v="724"/>
        <n v="330"/>
        <n v="37"/>
        <n v="2585"/>
        <n v="2452"/>
        <n v="1946"/>
        <n v="719"/>
        <n v="710"/>
        <n v="24"/>
        <n v="1360"/>
        <n v="1670"/>
        <n v="31"/>
        <n v="741"/>
        <n v="616"/>
        <n v="67"/>
        <n v="819"/>
        <n v="33"/>
        <n v="39"/>
        <n v="41"/>
        <n v="500"/>
        <n v="1070"/>
        <n v="1329"/>
        <n v="919"/>
        <n v="1418"/>
        <n v="134"/>
        <n v="231"/>
        <n v="233"/>
        <n v="830"/>
        <n v="40"/>
        <n v="1000"/>
        <n v="1200"/>
        <n v="1526"/>
        <n v="335"/>
        <n v="750"/>
        <n v="595"/>
        <n v="620"/>
        <n v="1010"/>
        <n v="587"/>
        <n v="794"/>
        <n v="1001"/>
        <n v="968"/>
        <n v="510"/>
        <n v="824"/>
        <n v="592"/>
        <n v="941"/>
        <n v="846"/>
        <n v="575"/>
        <n v="800"/>
        <n v="470"/>
        <n v="850"/>
        <n v="200"/>
        <n v="544"/>
        <n v="768"/>
        <n v="101"/>
        <n v="695"/>
        <n v="644"/>
        <n v="645"/>
        <n v="631"/>
        <n v="450"/>
        <n v="483"/>
        <n v="472"/>
        <n v="504"/>
        <n v="390"/>
        <n v="359"/>
        <n v="401"/>
        <n v="456"/>
        <n v="528"/>
        <n v="428"/>
        <n v="227"/>
        <n v="497"/>
        <n v="267"/>
        <n v="318"/>
        <n v="257"/>
        <n v="352"/>
        <n v="317"/>
        <n v="355"/>
        <n v="301"/>
        <n v="85"/>
        <n v="263"/>
        <n v="238"/>
        <n v="220"/>
        <n v="305"/>
        <n v="354"/>
        <n v="62"/>
        <n v="165"/>
        <n v="197"/>
        <n v="169"/>
        <n v="189"/>
        <n v="151"/>
        <n v="95"/>
        <n v="42"/>
      </sharedItems>
    </cacheField>
    <cacheField name="Rating category" numFmtId="0">
      <sharedItems count="3">
        <s v="Excellent"/>
        <s v="Average"/>
        <s v="Poor"/>
      </sharedItems>
    </cacheField>
    <cacheField name="Discount category" numFmtId="0">
      <sharedItems count="3">
        <s v="Medium"/>
        <s v="Low"/>
        <s v="High"/>
      </sharedItems>
    </cacheField>
  </cacheFields>
  <extLst>
    <ext xmlns:x14="http://schemas.microsoft.com/office/spreadsheetml/2009/9/main" uri="{725AE2AE-9491-48be-B2B4-4EB974FC3084}">
      <x14:pivotCacheDefinition pivotCacheId="209406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s v="1,620 - 1,980"/>
    <s v="2,200 - 3,200"/>
    <n v="0.38"/>
    <n v="-2"/>
    <n v="2"/>
    <x v="0"/>
    <x v="0"/>
    <x v="0"/>
    <x v="0"/>
  </r>
  <r>
    <x v="1"/>
    <n v="3750"/>
    <n v="6143"/>
    <n v="0.39"/>
    <n v="-5"/>
    <n v="5"/>
    <x v="1"/>
    <x v="1"/>
    <x v="1"/>
    <x v="0"/>
  </r>
  <r>
    <x v="2"/>
    <n v="3640"/>
    <n v="4588"/>
    <n v="0.21"/>
    <s v="Not provided"/>
    <s v="Not provided"/>
    <x v="2"/>
    <x v="2"/>
    <x v="0"/>
    <x v="0"/>
  </r>
  <r>
    <x v="3"/>
    <n v="3546"/>
    <n v="3699"/>
    <n v="0.04"/>
    <s v="Not provided"/>
    <s v="Not provided"/>
    <x v="2"/>
    <x v="3"/>
    <x v="0"/>
    <x v="1"/>
  </r>
  <r>
    <x v="4"/>
    <n v="2999"/>
    <n v="3290"/>
    <n v="0.09"/>
    <n v="-15"/>
    <n v="15"/>
    <x v="3"/>
    <x v="4"/>
    <x v="1"/>
    <x v="1"/>
  </r>
  <r>
    <x v="5"/>
    <n v="2999"/>
    <n v="3699"/>
    <n v="0.19"/>
    <n v="-5"/>
    <n v="5"/>
    <x v="4"/>
    <x v="5"/>
    <x v="0"/>
    <x v="1"/>
  </r>
  <r>
    <x v="6"/>
    <n v="2880"/>
    <n v="3520"/>
    <n v="0.18"/>
    <n v="-12"/>
    <n v="12"/>
    <x v="5"/>
    <x v="6"/>
    <x v="1"/>
    <x v="1"/>
  </r>
  <r>
    <x v="7"/>
    <n v="2799"/>
    <n v="3810"/>
    <n v="0.27"/>
    <s v="Not provided"/>
    <s v="Not provided"/>
    <x v="2"/>
    <x v="7"/>
    <x v="0"/>
    <x v="0"/>
  </r>
  <r>
    <x v="8"/>
    <n v="2750"/>
    <n v="4471"/>
    <n v="0.38"/>
    <s v="Not provided"/>
    <s v="Not provided"/>
    <x v="2"/>
    <x v="8"/>
    <x v="0"/>
    <x v="0"/>
  </r>
  <r>
    <x v="9"/>
    <n v="2319"/>
    <n v="3032"/>
    <n v="0.24"/>
    <n v="-55"/>
    <n v="55"/>
    <x v="4"/>
    <x v="9"/>
    <x v="0"/>
    <x v="0"/>
  </r>
  <r>
    <x v="10"/>
    <n v="2300"/>
    <n v="3240"/>
    <n v="0.28999999999999998"/>
    <n v="-5"/>
    <n v="5"/>
    <x v="1"/>
    <x v="10"/>
    <x v="1"/>
    <x v="0"/>
  </r>
  <r>
    <x v="11"/>
    <n v="2200"/>
    <n v="4080"/>
    <n v="0.46"/>
    <s v="Not provided"/>
    <s v="Not provided"/>
    <x v="2"/>
    <x v="11"/>
    <x v="0"/>
    <x v="2"/>
  </r>
  <r>
    <x v="12"/>
    <n v="2199"/>
    <n v="2923"/>
    <n v="0.25"/>
    <n v="-24"/>
    <n v="24"/>
    <x v="4"/>
    <x v="12"/>
    <x v="0"/>
    <x v="0"/>
  </r>
  <r>
    <x v="13"/>
    <n v="2170"/>
    <n v="2500"/>
    <n v="0.13"/>
    <s v="Not provided"/>
    <s v="Not provided"/>
    <x v="2"/>
    <x v="13"/>
    <x v="0"/>
    <x v="1"/>
  </r>
  <r>
    <x v="14"/>
    <n v="2132"/>
    <n v="2169"/>
    <n v="0.02"/>
    <s v="Not provided"/>
    <s v="Not provided"/>
    <x v="2"/>
    <x v="14"/>
    <x v="0"/>
    <x v="1"/>
  </r>
  <r>
    <x v="15"/>
    <n v="2115"/>
    <n v="4700"/>
    <n v="0.55000000000000004"/>
    <n v="-13"/>
    <n v="13"/>
    <x v="6"/>
    <x v="15"/>
    <x v="2"/>
    <x v="2"/>
  </r>
  <r>
    <x v="16"/>
    <n v="2048"/>
    <n v="4500"/>
    <n v="0.54"/>
    <n v="-7"/>
    <n v="7"/>
    <x v="7"/>
    <x v="16"/>
    <x v="1"/>
    <x v="2"/>
  </r>
  <r>
    <x v="17"/>
    <n v="2025"/>
    <n v="3971"/>
    <n v="0.49"/>
    <n v="-3"/>
    <n v="3"/>
    <x v="8"/>
    <x v="17"/>
    <x v="0"/>
    <x v="2"/>
  </r>
  <r>
    <x v="18"/>
    <n v="1980"/>
    <n v="2699"/>
    <n v="0.27"/>
    <n v="-32"/>
    <n v="32"/>
    <x v="0"/>
    <x v="18"/>
    <x v="0"/>
    <x v="0"/>
  </r>
  <r>
    <x v="19"/>
    <n v="1940"/>
    <n v="2650"/>
    <n v="0.27"/>
    <n v="-20"/>
    <n v="20"/>
    <x v="9"/>
    <x v="19"/>
    <x v="0"/>
    <x v="0"/>
  </r>
  <r>
    <x v="20"/>
    <n v="1875"/>
    <n v="1899"/>
    <n v="0.01"/>
    <s v="Not provided"/>
    <s v="Not provided"/>
    <x v="2"/>
    <x v="20"/>
    <x v="0"/>
    <x v="1"/>
  </r>
  <r>
    <x v="21"/>
    <n v="1860"/>
    <n v="3220"/>
    <n v="0.42"/>
    <s v="Not provided"/>
    <s v="Not provided"/>
    <x v="2"/>
    <x v="21"/>
    <x v="0"/>
    <x v="2"/>
  </r>
  <r>
    <x v="22"/>
    <n v="1820"/>
    <n v="3490"/>
    <n v="0.48"/>
    <n v="-9"/>
    <n v="9"/>
    <x v="7"/>
    <x v="22"/>
    <x v="1"/>
    <x v="2"/>
  </r>
  <r>
    <x v="23"/>
    <n v="1768"/>
    <n v="1799"/>
    <n v="0.02"/>
    <s v="Not provided"/>
    <s v="Not provided"/>
    <x v="2"/>
    <x v="23"/>
    <x v="0"/>
    <x v="1"/>
  </r>
  <r>
    <x v="24"/>
    <n v="1758"/>
    <n v="2499"/>
    <n v="0.3"/>
    <n v="-20"/>
    <n v="20"/>
    <x v="10"/>
    <x v="24"/>
    <x v="1"/>
    <x v="0"/>
  </r>
  <r>
    <x v="25"/>
    <n v="1740"/>
    <n v="2356"/>
    <n v="0.26"/>
    <n v="-5"/>
    <n v="5"/>
    <x v="11"/>
    <x v="25"/>
    <x v="0"/>
    <x v="0"/>
  </r>
  <r>
    <x v="26"/>
    <n v="1732"/>
    <n v="1799"/>
    <n v="0.04"/>
    <s v="Not provided"/>
    <s v="Not provided"/>
    <x v="2"/>
    <x v="26"/>
    <x v="0"/>
    <x v="1"/>
  </r>
  <r>
    <x v="27"/>
    <n v="1680"/>
    <n v="2499"/>
    <n v="0.33"/>
    <n v="-9"/>
    <n v="9"/>
    <x v="12"/>
    <x v="27"/>
    <x v="1"/>
    <x v="0"/>
  </r>
  <r>
    <x v="28"/>
    <n v="1666"/>
    <n v="1699"/>
    <n v="0.02"/>
    <s v="Not provided"/>
    <s v="Not provided"/>
    <x v="2"/>
    <x v="28"/>
    <x v="0"/>
    <x v="1"/>
  </r>
  <r>
    <x v="29"/>
    <n v="1660"/>
    <n v="1699"/>
    <n v="0.02"/>
    <s v="Not provided"/>
    <s v="Not provided"/>
    <x v="2"/>
    <x v="29"/>
    <x v="0"/>
    <x v="1"/>
  </r>
  <r>
    <x v="30"/>
    <n v="1658"/>
    <n v="1699"/>
    <n v="0.02"/>
    <s v="Not provided"/>
    <s v="Not provided"/>
    <x v="2"/>
    <x v="30"/>
    <x v="0"/>
    <x v="1"/>
  </r>
  <r>
    <x v="31"/>
    <n v="1650"/>
    <n v="2150"/>
    <n v="0.23"/>
    <n v="-14"/>
    <n v="14"/>
    <x v="13"/>
    <x v="31"/>
    <x v="1"/>
    <x v="0"/>
  </r>
  <r>
    <x v="32"/>
    <n v="1620"/>
    <n v="2690"/>
    <n v="0.4"/>
    <n v="-1"/>
    <n v="1"/>
    <x v="8"/>
    <x v="32"/>
    <x v="0"/>
    <x v="0"/>
  </r>
  <r>
    <x v="33"/>
    <n v="1600"/>
    <n v="2929"/>
    <n v="0.45"/>
    <n v="-5"/>
    <n v="5"/>
    <x v="5"/>
    <x v="33"/>
    <x v="1"/>
    <x v="2"/>
  </r>
  <r>
    <x v="34"/>
    <n v="1580"/>
    <n v="2499"/>
    <n v="0.37"/>
    <n v="-7"/>
    <n v="7"/>
    <x v="9"/>
    <x v="34"/>
    <x v="0"/>
    <x v="0"/>
  </r>
  <r>
    <x v="35"/>
    <n v="1570"/>
    <n v="2988"/>
    <n v="0.47"/>
    <n v="-7"/>
    <n v="7"/>
    <x v="6"/>
    <x v="35"/>
    <x v="2"/>
    <x v="2"/>
  </r>
  <r>
    <x v="36"/>
    <n v="1526"/>
    <n v="1660"/>
    <n v="0.08"/>
    <s v="Not provided"/>
    <s v="Not provided"/>
    <x v="2"/>
    <x v="36"/>
    <x v="0"/>
    <x v="1"/>
  </r>
  <r>
    <x v="37"/>
    <n v="1468"/>
    <n v="1699"/>
    <n v="0.14000000000000001"/>
    <s v="Not provided"/>
    <s v="Not provided"/>
    <x v="2"/>
    <x v="37"/>
    <x v="0"/>
    <x v="1"/>
  </r>
  <r>
    <x v="38"/>
    <n v="1466"/>
    <n v="1699"/>
    <n v="0.14000000000000001"/>
    <s v="Not provided"/>
    <s v="Not provided"/>
    <x v="2"/>
    <x v="38"/>
    <x v="0"/>
    <x v="1"/>
  </r>
  <r>
    <x v="39"/>
    <n v="1462"/>
    <n v="1499"/>
    <n v="0.02"/>
    <s v="Not provided"/>
    <s v="Not provided"/>
    <x v="2"/>
    <x v="14"/>
    <x v="0"/>
    <x v="1"/>
  </r>
  <r>
    <x v="40"/>
    <n v="1460"/>
    <n v="2290"/>
    <n v="0.36"/>
    <s v="Not provided"/>
    <s v="Not provided"/>
    <x v="2"/>
    <x v="39"/>
    <x v="0"/>
    <x v="0"/>
  </r>
  <r>
    <x v="41"/>
    <n v="1459"/>
    <n v="1499"/>
    <n v="0.03"/>
    <s v="Not provided"/>
    <s v="Not provided"/>
    <x v="2"/>
    <x v="40"/>
    <x v="0"/>
    <x v="1"/>
  </r>
  <r>
    <x v="42"/>
    <n v="1420"/>
    <n v="2420"/>
    <n v="0.41"/>
    <s v="Not provided"/>
    <s v="Not provided"/>
    <x v="2"/>
    <x v="41"/>
    <x v="0"/>
    <x v="2"/>
  </r>
  <r>
    <x v="43"/>
    <n v="1350"/>
    <n v="1990"/>
    <n v="0.32"/>
    <n v="-13"/>
    <n v="13"/>
    <x v="5"/>
    <x v="6"/>
    <x v="1"/>
    <x v="0"/>
  </r>
  <r>
    <x v="44"/>
    <n v="1300"/>
    <n v="2500"/>
    <n v="0.48"/>
    <s v="Not provided"/>
    <s v="Not provided"/>
    <x v="2"/>
    <x v="42"/>
    <x v="0"/>
    <x v="2"/>
  </r>
  <r>
    <x v="45"/>
    <n v="1274"/>
    <n v="2800"/>
    <n v="0.55000000000000004"/>
    <n v="-5"/>
    <n v="5"/>
    <x v="11"/>
    <x v="43"/>
    <x v="0"/>
    <x v="2"/>
  </r>
  <r>
    <x v="46"/>
    <n v="1220"/>
    <n v="1555"/>
    <n v="0.22"/>
    <n v="-16"/>
    <n v="16"/>
    <x v="14"/>
    <x v="44"/>
    <x v="2"/>
    <x v="0"/>
  </r>
  <r>
    <x v="47"/>
    <n v="1200"/>
    <n v="1950"/>
    <n v="0.38"/>
    <s v="Not provided"/>
    <s v="Not provided"/>
    <x v="2"/>
    <x v="45"/>
    <x v="0"/>
    <x v="0"/>
  </r>
  <r>
    <x v="48"/>
    <n v="1200"/>
    <n v="2400"/>
    <n v="0.5"/>
    <s v="Not provided"/>
    <s v="Not provided"/>
    <x v="2"/>
    <x v="42"/>
    <x v="0"/>
    <x v="2"/>
  </r>
  <r>
    <x v="49"/>
    <n v="1190"/>
    <n v="1785"/>
    <n v="0.33"/>
    <s v="Not provided"/>
    <s v="Not provided"/>
    <x v="2"/>
    <x v="46"/>
    <x v="0"/>
    <x v="0"/>
  </r>
  <r>
    <x v="50"/>
    <n v="1190"/>
    <n v="1810"/>
    <n v="0.34"/>
    <s v="Not provided"/>
    <s v="Not provided"/>
    <x v="2"/>
    <x v="47"/>
    <x v="0"/>
    <x v="0"/>
  </r>
  <r>
    <x v="51"/>
    <n v="1189"/>
    <n v="2199"/>
    <n v="0.46"/>
    <s v="Not provided"/>
    <s v="Not provided"/>
    <x v="2"/>
    <x v="48"/>
    <x v="0"/>
    <x v="2"/>
  </r>
  <r>
    <x v="52"/>
    <n v="1150"/>
    <n v="1737"/>
    <n v="0.34"/>
    <s v="Not provided"/>
    <s v="Not provided"/>
    <x v="2"/>
    <x v="49"/>
    <x v="0"/>
    <x v="0"/>
  </r>
  <r>
    <x v="53"/>
    <n v="1080"/>
    <n v="1874"/>
    <n v="0.42"/>
    <s v="Not provided"/>
    <s v="Not provided"/>
    <x v="2"/>
    <x v="50"/>
    <x v="0"/>
    <x v="2"/>
  </r>
  <r>
    <x v="54"/>
    <n v="1000"/>
    <n v="2000"/>
    <n v="0.5"/>
    <n v="-7"/>
    <n v="7"/>
    <x v="15"/>
    <x v="41"/>
    <x v="2"/>
    <x v="2"/>
  </r>
  <r>
    <x v="55"/>
    <n v="999"/>
    <n v="2000"/>
    <n v="0.5"/>
    <s v="Not provided"/>
    <s v="Not provided"/>
    <x v="2"/>
    <x v="51"/>
    <x v="0"/>
    <x v="2"/>
  </r>
  <r>
    <x v="56"/>
    <n v="998"/>
    <n v="1966"/>
    <n v="0.49"/>
    <n v="-44"/>
    <n v="44"/>
    <x v="4"/>
    <x v="52"/>
    <x v="0"/>
    <x v="2"/>
  </r>
  <r>
    <x v="57"/>
    <n v="990"/>
    <n v="1500"/>
    <n v="0.34"/>
    <n v="-39"/>
    <n v="39"/>
    <x v="9"/>
    <x v="53"/>
    <x v="0"/>
    <x v="0"/>
  </r>
  <r>
    <x v="58"/>
    <n v="990"/>
    <n v="1814"/>
    <n v="0.45"/>
    <n v="-6"/>
    <n v="6"/>
    <x v="16"/>
    <x v="54"/>
    <x v="2"/>
    <x v="2"/>
  </r>
  <r>
    <x v="59"/>
    <n v="988"/>
    <n v="1580"/>
    <n v="0.37"/>
    <n v="-2"/>
    <n v="2"/>
    <x v="3"/>
    <x v="55"/>
    <x v="1"/>
    <x v="0"/>
  </r>
  <r>
    <x v="60"/>
    <n v="980"/>
    <n v="1490"/>
    <n v="0.34"/>
    <n v="-12"/>
    <n v="12"/>
    <x v="9"/>
    <x v="53"/>
    <x v="0"/>
    <x v="0"/>
  </r>
  <r>
    <x v="61"/>
    <n v="979"/>
    <n v="1920"/>
    <n v="0.49"/>
    <n v="-1"/>
    <n v="1"/>
    <x v="8"/>
    <x v="56"/>
    <x v="0"/>
    <x v="2"/>
  </r>
  <r>
    <x v="62"/>
    <n v="968"/>
    <n v="1814"/>
    <n v="0.47"/>
    <n v="-6"/>
    <n v="6"/>
    <x v="16"/>
    <x v="57"/>
    <x v="2"/>
    <x v="2"/>
  </r>
  <r>
    <x v="63"/>
    <n v="950"/>
    <n v="1525"/>
    <n v="0.38"/>
    <n v="-2"/>
    <n v="2"/>
    <x v="0"/>
    <x v="58"/>
    <x v="0"/>
    <x v="0"/>
  </r>
  <r>
    <x v="64"/>
    <n v="899"/>
    <n v="1699"/>
    <n v="0.47"/>
    <s v="Not provided"/>
    <s v="Not provided"/>
    <x v="2"/>
    <x v="59"/>
    <x v="0"/>
    <x v="2"/>
  </r>
  <r>
    <x v="64"/>
    <n v="899"/>
    <n v="1699"/>
    <n v="0.47"/>
    <s v="Not provided"/>
    <s v="Not provided"/>
    <x v="2"/>
    <x v="59"/>
    <x v="0"/>
    <x v="2"/>
  </r>
  <r>
    <x v="65"/>
    <n v="880"/>
    <n v="1350"/>
    <n v="0.35"/>
    <n v="-6"/>
    <n v="6"/>
    <x v="3"/>
    <x v="60"/>
    <x v="1"/>
    <x v="0"/>
  </r>
  <r>
    <x v="66"/>
    <n v="850"/>
    <n v="1700"/>
    <n v="0.5"/>
    <s v="Not provided"/>
    <s v="Not provided"/>
    <x v="2"/>
    <x v="61"/>
    <x v="0"/>
    <x v="2"/>
  </r>
  <r>
    <x v="67"/>
    <n v="799"/>
    <n v="999"/>
    <n v="0.2"/>
    <n v="-12"/>
    <n v="12"/>
    <x v="10"/>
    <x v="62"/>
    <x v="1"/>
    <x v="0"/>
  </r>
  <r>
    <x v="68"/>
    <n v="799"/>
    <n v="1343"/>
    <n v="0.41"/>
    <s v="Not provided"/>
    <s v="Not provided"/>
    <x v="2"/>
    <x v="63"/>
    <x v="0"/>
    <x v="2"/>
  </r>
  <r>
    <x v="69"/>
    <n v="799"/>
    <n v="1567"/>
    <n v="0.49"/>
    <s v="Not provided"/>
    <s v="Not provided"/>
    <x v="2"/>
    <x v="64"/>
    <x v="0"/>
    <x v="2"/>
  </r>
  <r>
    <x v="70"/>
    <n v="799"/>
    <n v="900"/>
    <n v="0.11"/>
    <s v="Not provided"/>
    <s v="Not provided"/>
    <x v="2"/>
    <x v="65"/>
    <x v="0"/>
    <x v="1"/>
  </r>
  <r>
    <x v="71"/>
    <n v="790"/>
    <n v="1485"/>
    <n v="0.47"/>
    <s v="Not provided"/>
    <s v="Not provided"/>
    <x v="2"/>
    <x v="66"/>
    <x v="0"/>
    <x v="2"/>
  </r>
  <r>
    <x v="72"/>
    <n v="699"/>
    <n v="1343"/>
    <n v="0.48"/>
    <s v="Not provided"/>
    <s v="Not provided"/>
    <x v="2"/>
    <x v="67"/>
    <x v="0"/>
    <x v="2"/>
  </r>
  <r>
    <x v="73"/>
    <n v="690"/>
    <n v="1200"/>
    <n v="0.43"/>
    <s v="Not provided"/>
    <s v="Not provided"/>
    <x v="2"/>
    <x v="53"/>
    <x v="0"/>
    <x v="2"/>
  </r>
  <r>
    <x v="74"/>
    <n v="671"/>
    <n v="1316"/>
    <n v="0.49"/>
    <s v="Not provided"/>
    <s v="Not provided"/>
    <x v="2"/>
    <x v="68"/>
    <x v="0"/>
    <x v="2"/>
  </r>
  <r>
    <x v="69"/>
    <n v="657"/>
    <n v="1288"/>
    <n v="0.49"/>
    <s v="Not provided"/>
    <s v="Not provided"/>
    <x v="2"/>
    <x v="69"/>
    <x v="0"/>
    <x v="2"/>
  </r>
  <r>
    <x v="75"/>
    <n v="630"/>
    <n v="1100"/>
    <n v="0.43"/>
    <s v="Not provided"/>
    <s v="Not provided"/>
    <x v="2"/>
    <x v="60"/>
    <x v="0"/>
    <x v="2"/>
  </r>
  <r>
    <x v="76"/>
    <n v="610"/>
    <n v="1060"/>
    <n v="0.42"/>
    <s v="Not provided"/>
    <s v="Not provided"/>
    <x v="2"/>
    <x v="70"/>
    <x v="0"/>
    <x v="2"/>
  </r>
  <r>
    <x v="76"/>
    <n v="610"/>
    <n v="1060"/>
    <n v="0.42"/>
    <s v="Not provided"/>
    <s v="Not provided"/>
    <x v="2"/>
    <x v="70"/>
    <x v="0"/>
    <x v="2"/>
  </r>
  <r>
    <x v="76"/>
    <n v="610"/>
    <n v="1060"/>
    <n v="0.42"/>
    <s v="Not provided"/>
    <s v="Not provided"/>
    <x v="2"/>
    <x v="70"/>
    <x v="0"/>
    <x v="2"/>
  </r>
  <r>
    <x v="77"/>
    <n v="552"/>
    <n v="1035"/>
    <n v="0.47"/>
    <n v="-12"/>
    <n v="12"/>
    <x v="11"/>
    <x v="71"/>
    <x v="0"/>
    <x v="2"/>
  </r>
  <r>
    <x v="78"/>
    <n v="527"/>
    <n v="999"/>
    <n v="0.47"/>
    <n v="-14"/>
    <n v="14"/>
    <x v="10"/>
    <x v="72"/>
    <x v="1"/>
    <x v="2"/>
  </r>
  <r>
    <x v="79"/>
    <n v="525"/>
    <n v="1029"/>
    <n v="0.49"/>
    <s v="Not provided"/>
    <s v="Not provided"/>
    <x v="2"/>
    <x v="73"/>
    <x v="0"/>
    <x v="2"/>
  </r>
  <r>
    <x v="80"/>
    <n v="509"/>
    <n v="899"/>
    <n v="0.43"/>
    <n v="-5"/>
    <n v="5"/>
    <x v="1"/>
    <x v="74"/>
    <x v="1"/>
    <x v="2"/>
  </r>
  <r>
    <x v="81"/>
    <n v="501"/>
    <n v="860"/>
    <n v="0.42"/>
    <n v="-6"/>
    <n v="6"/>
    <x v="0"/>
    <x v="75"/>
    <x v="0"/>
    <x v="2"/>
  </r>
  <r>
    <x v="82"/>
    <n v="499"/>
    <n v="900"/>
    <n v="0.45"/>
    <s v="Not provided"/>
    <s v="Not provided"/>
    <x v="2"/>
    <x v="76"/>
    <x v="0"/>
    <x v="2"/>
  </r>
  <r>
    <x v="83"/>
    <n v="475"/>
    <n v="931"/>
    <n v="0.49"/>
    <s v="Not provided"/>
    <s v="Not provided"/>
    <x v="2"/>
    <x v="77"/>
    <x v="0"/>
    <x v="2"/>
  </r>
  <r>
    <x v="84"/>
    <n v="458"/>
    <n v="986"/>
    <n v="0.54"/>
    <n v="-10"/>
    <n v="10"/>
    <x v="1"/>
    <x v="78"/>
    <x v="1"/>
    <x v="2"/>
  </r>
  <r>
    <x v="85"/>
    <n v="450"/>
    <n v="900"/>
    <n v="0.5"/>
    <s v="Not provided"/>
    <s v="Not provided"/>
    <x v="2"/>
    <x v="70"/>
    <x v="0"/>
    <x v="2"/>
  </r>
  <r>
    <x v="86"/>
    <n v="445"/>
    <n v="873"/>
    <n v="0.49"/>
    <n v="-69"/>
    <n v="69"/>
    <x v="17"/>
    <x v="79"/>
    <x v="2"/>
    <x v="2"/>
  </r>
  <r>
    <x v="87"/>
    <n v="420"/>
    <n v="647"/>
    <n v="0.35"/>
    <n v="-49"/>
    <n v="49"/>
    <x v="4"/>
    <x v="80"/>
    <x v="0"/>
    <x v="0"/>
  </r>
  <r>
    <x v="82"/>
    <n v="399"/>
    <n v="896"/>
    <n v="0.55000000000000004"/>
    <s v="Not provided"/>
    <s v="Not provided"/>
    <x v="2"/>
    <x v="81"/>
    <x v="0"/>
    <x v="2"/>
  </r>
  <r>
    <x v="88"/>
    <n v="389"/>
    <n v="656"/>
    <n v="0.41"/>
    <n v="-36"/>
    <n v="36"/>
    <x v="7"/>
    <x v="82"/>
    <x v="1"/>
    <x v="2"/>
  </r>
  <r>
    <x v="89"/>
    <n v="382"/>
    <n v="700"/>
    <n v="0.45"/>
    <n v="-17"/>
    <n v="17"/>
    <x v="18"/>
    <x v="83"/>
    <x v="2"/>
    <x v="2"/>
  </r>
  <r>
    <x v="90"/>
    <n v="345"/>
    <n v="602"/>
    <n v="0.43"/>
    <n v="-6"/>
    <n v="6"/>
    <x v="15"/>
    <x v="84"/>
    <x v="2"/>
    <x v="2"/>
  </r>
  <r>
    <x v="91"/>
    <n v="332"/>
    <n v="684"/>
    <n v="0.51"/>
    <n v="-2"/>
    <n v="2"/>
    <x v="8"/>
    <x v="85"/>
    <x v="0"/>
    <x v="2"/>
  </r>
  <r>
    <x v="92"/>
    <n v="330"/>
    <n v="647"/>
    <n v="0.49"/>
    <s v="Not provided"/>
    <s v="Not provided"/>
    <x v="2"/>
    <x v="86"/>
    <x v="0"/>
    <x v="2"/>
  </r>
  <r>
    <x v="93"/>
    <n v="325"/>
    <n v="680"/>
    <n v="0.52"/>
    <n v="-15"/>
    <n v="15"/>
    <x v="19"/>
    <x v="87"/>
    <x v="2"/>
    <x v="2"/>
  </r>
  <r>
    <x v="94"/>
    <n v="299"/>
    <n v="600"/>
    <n v="0.5"/>
    <s v="Not provided"/>
    <s v="Not provided"/>
    <x v="2"/>
    <x v="88"/>
    <x v="0"/>
    <x v="2"/>
  </r>
  <r>
    <x v="95"/>
    <n v="299"/>
    <n v="384"/>
    <n v="0.22"/>
    <s v="Not provided"/>
    <s v="Not provided"/>
    <x v="2"/>
    <x v="89"/>
    <x v="0"/>
    <x v="0"/>
  </r>
  <r>
    <x v="96"/>
    <n v="274"/>
    <n v="537"/>
    <n v="0.49"/>
    <s v="Not provided"/>
    <s v="Not provided"/>
    <x v="2"/>
    <x v="90"/>
    <x v="0"/>
    <x v="2"/>
  </r>
  <r>
    <x v="97"/>
    <n v="248"/>
    <n v="486"/>
    <n v="0.49"/>
    <s v="Not provided"/>
    <s v="Not provided"/>
    <x v="2"/>
    <x v="91"/>
    <x v="0"/>
    <x v="2"/>
  </r>
  <r>
    <x v="98"/>
    <n v="238"/>
    <n v="476"/>
    <n v="0.5"/>
    <s v="Not provided"/>
    <s v="Not provided"/>
    <x v="2"/>
    <x v="91"/>
    <x v="0"/>
    <x v="2"/>
  </r>
  <r>
    <x v="99"/>
    <n v="230"/>
    <n v="450"/>
    <n v="0.49"/>
    <s v="Not provided"/>
    <s v="Not provided"/>
    <x v="2"/>
    <x v="92"/>
    <x v="0"/>
    <x v="2"/>
  </r>
  <r>
    <x v="100"/>
    <n v="199"/>
    <n v="504"/>
    <n v="0.61"/>
    <s v="Not provided"/>
    <s v="Not provided"/>
    <x v="2"/>
    <x v="93"/>
    <x v="0"/>
    <x v="2"/>
  </r>
  <r>
    <x v="101"/>
    <n v="199"/>
    <n v="553"/>
    <n v="0.64"/>
    <s v="Not provided"/>
    <s v="Not provided"/>
    <x v="2"/>
    <x v="94"/>
    <x v="0"/>
    <x v="2"/>
  </r>
  <r>
    <x v="102"/>
    <n v="198"/>
    <n v="260"/>
    <n v="0.24"/>
    <s v="Not provided"/>
    <s v="Not provided"/>
    <x v="2"/>
    <x v="95"/>
    <x v="0"/>
    <x v="0"/>
  </r>
  <r>
    <x v="103"/>
    <n v="195"/>
    <n v="360"/>
    <n v="0.46"/>
    <n v="-2"/>
    <n v="2"/>
    <x v="8"/>
    <x v="96"/>
    <x v="0"/>
    <x v="2"/>
  </r>
  <r>
    <x v="104"/>
    <n v="185"/>
    <n v="382"/>
    <n v="0.52"/>
    <n v="-9"/>
    <n v="9"/>
    <x v="7"/>
    <x v="97"/>
    <x v="1"/>
    <x v="2"/>
  </r>
  <r>
    <x v="100"/>
    <n v="176"/>
    <n v="345"/>
    <n v="0.49"/>
    <s v="Not provided"/>
    <s v="Not provided"/>
    <x v="2"/>
    <x v="98"/>
    <x v="0"/>
    <x v="2"/>
  </r>
  <r>
    <x v="105"/>
    <n v="171"/>
    <n v="360"/>
    <n v="0.53"/>
    <n v="-2"/>
    <n v="2"/>
    <x v="8"/>
    <x v="99"/>
    <x v="0"/>
    <x v="2"/>
  </r>
  <r>
    <x v="106"/>
    <n v="169"/>
    <n v="320"/>
    <n v="0.47"/>
    <s v="Not provided"/>
    <s v="Not provided"/>
    <x v="2"/>
    <x v="100"/>
    <x v="0"/>
    <x v="2"/>
  </r>
  <r>
    <x v="107"/>
    <n v="105"/>
    <n v="200"/>
    <n v="0.48"/>
    <s v="Not provided"/>
    <s v="Not provided"/>
    <x v="2"/>
    <x v="101"/>
    <x v="0"/>
    <x v="2"/>
  </r>
  <r>
    <x v="108"/>
    <n v="38"/>
    <n v="80"/>
    <n v="0.53"/>
    <n v="-13"/>
    <n v="13"/>
    <x v="20"/>
    <x v="10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location ref="A3:C7" firstHeaderRow="0" firstDataRow="1" firstDataCol="1"/>
  <pivotFields count="10">
    <pivotField showAll="0"/>
    <pivotField showAll="0"/>
    <pivotField showAll="0"/>
    <pivotField dataField="1" numFmtId="9" showAll="0"/>
    <pivotField showAll="0"/>
    <pivotField showAll="0"/>
    <pivotField dataField="1" showAll="0"/>
    <pivotField showAll="0"/>
    <pivotField showAll="0"/>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dataFields count="2">
    <dataField name="Average of Discount" fld="3" subtotal="average" baseField="9" baseItem="0"/>
    <dataField name="Count of Rating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pivotField showAll="0"/>
    <pivotField showAll="0"/>
    <pivotField numFmtId="9" showAll="0"/>
    <pivotField showAll="0"/>
    <pivotField dataField="1" showAll="0"/>
    <pivotField showAll="0"/>
    <pivotField showAll="0"/>
    <pivotField showAll="0"/>
    <pivotField axis="axisRow" showAll="0">
      <items count="4">
        <item x="2"/>
        <item x="1"/>
        <item x="0"/>
        <item t="default"/>
      </items>
    </pivotField>
  </pivotFields>
  <rowFields count="1">
    <field x="9"/>
  </rowFields>
  <rowItems count="4">
    <i>
      <x/>
    </i>
    <i>
      <x v="1"/>
    </i>
    <i>
      <x v="2"/>
    </i>
    <i t="grand">
      <x/>
    </i>
  </rowItems>
  <colItems count="1">
    <i/>
  </colItems>
  <dataFields count="1">
    <dataField name="Count of Review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dataField="1" showAll="0"/>
    <pivotField showAll="0"/>
    <pivotField showAll="0"/>
    <pivotField numFmtId="9" showAll="0"/>
    <pivotField showAll="0"/>
    <pivotField showAll="0"/>
    <pivotField showAll="0"/>
    <pivotField showAll="0">
      <items count="104">
        <item x="20"/>
        <item x="23"/>
        <item x="28"/>
        <item x="14"/>
        <item x="29"/>
        <item x="40"/>
        <item x="30"/>
        <item x="102"/>
        <item x="95"/>
        <item x="26"/>
        <item x="89"/>
        <item x="101"/>
        <item x="65"/>
        <item x="36"/>
        <item x="100"/>
        <item x="3"/>
        <item x="96"/>
        <item x="98"/>
        <item x="99"/>
        <item x="97"/>
        <item x="62"/>
        <item x="92"/>
        <item x="80"/>
        <item x="37"/>
        <item x="38"/>
        <item x="91"/>
        <item x="84"/>
        <item x="90"/>
        <item x="82"/>
        <item x="4"/>
        <item x="88"/>
        <item x="93"/>
        <item x="86"/>
        <item x="83"/>
        <item x="13"/>
        <item x="44"/>
        <item x="85"/>
        <item x="94"/>
        <item x="87"/>
        <item x="75"/>
        <item x="74"/>
        <item x="76"/>
        <item x="79"/>
        <item x="70"/>
        <item x="77"/>
        <item x="60"/>
        <item x="72"/>
        <item x="71"/>
        <item x="81"/>
        <item x="31"/>
        <item x="73"/>
        <item x="53"/>
        <item x="78"/>
        <item x="63"/>
        <item x="58"/>
        <item x="49"/>
        <item x="55"/>
        <item x="46"/>
        <item x="25"/>
        <item x="47"/>
        <item x="69"/>
        <item x="6"/>
        <item x="67"/>
        <item x="68"/>
        <item x="66"/>
        <item x="5"/>
        <item x="19"/>
        <item x="9"/>
        <item x="18"/>
        <item x="12"/>
        <item x="24"/>
        <item x="45"/>
        <item x="64"/>
        <item x="50"/>
        <item x="59"/>
        <item x="27"/>
        <item x="54"/>
        <item x="39"/>
        <item x="57"/>
        <item x="61"/>
        <item x="34"/>
        <item x="10"/>
        <item x="56"/>
        <item x="2"/>
        <item x="52"/>
        <item x="41"/>
        <item x="51"/>
        <item x="48"/>
        <item x="7"/>
        <item x="32"/>
        <item x="42"/>
        <item x="33"/>
        <item x="21"/>
        <item x="35"/>
        <item x="43"/>
        <item x="22"/>
        <item x="8"/>
        <item x="11"/>
        <item x="17"/>
        <item x="1"/>
        <item x="16"/>
        <item x="15"/>
        <item x="0"/>
        <item t="default"/>
      </items>
    </pivotField>
    <pivotField axis="axisRow" showAll="0">
      <items count="4">
        <item x="1"/>
        <item x="0"/>
        <item x="2"/>
        <item t="default"/>
      </items>
    </pivotField>
    <pivotField showAll="0">
      <items count="4">
        <item x="2"/>
        <item x="1"/>
        <item x="0"/>
        <item t="default"/>
      </items>
    </pivotField>
  </pivotFields>
  <rowFields count="1">
    <field x="8"/>
  </rowFields>
  <rowItems count="4">
    <i>
      <x/>
    </i>
    <i>
      <x v="1"/>
    </i>
    <i>
      <x v="2"/>
    </i>
    <i t="grand">
      <x/>
    </i>
  </rowItems>
  <colItems count="1">
    <i/>
  </colItems>
  <dataFields count="1">
    <dataField name="Count of Product"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pivotField showAll="0"/>
    <pivotField showAll="0"/>
    <pivotField numFmtId="9" showAll="0"/>
    <pivotField dataField="1" showAll="0"/>
    <pivotField showAll="0"/>
    <pivotField showAll="0"/>
    <pivotField showAll="0"/>
    <pivotField axis="axisRow" showAll="0">
      <items count="4">
        <item x="1"/>
        <item x="0"/>
        <item x="2"/>
        <item t="default"/>
      </items>
    </pivotField>
    <pivotField showAll="0">
      <items count="4">
        <item x="2"/>
        <item x="1"/>
        <item x="0"/>
        <item t="default"/>
      </items>
    </pivotField>
  </pivotFields>
  <rowFields count="1">
    <field x="8"/>
  </rowFields>
  <rowItems count="4">
    <i>
      <x/>
    </i>
    <i>
      <x v="1"/>
    </i>
    <i>
      <x v="2"/>
    </i>
    <i t="grand">
      <x/>
    </i>
  </rowItems>
  <colItems count="1">
    <i/>
  </colItems>
  <dataFields count="1">
    <dataField name="Count of Review"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10">
    <pivotField showAll="0"/>
    <pivotField showAll="0"/>
    <pivotField showAll="0"/>
    <pivotField numFmtId="9" showAll="0"/>
    <pivotField showAll="0"/>
    <pivotField dataField="1" showAll="0"/>
    <pivotField dataField="1" showAll="0"/>
    <pivotField showAll="0"/>
    <pivotField showAll="0"/>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dataFields count="2">
    <dataField name="Average of Ratingd" fld="6" subtotal="average" baseField="9" baseItem="0"/>
    <dataField name="Average of Reviews" fld="5"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0A23D8-5CCF-4F73-B780-57F479BE4093}"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B11" firstHeaderRow="1" firstDataRow="1" firstDataCol="1"/>
  <pivotFields count="10">
    <pivotField dataField="1"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showAll="0"/>
    <pivotField showAll="0"/>
    <pivotField numFmtId="9" showAll="0"/>
    <pivotField showAll="0"/>
    <pivotField showAll="0"/>
    <pivotField showAll="0"/>
    <pivotField showAll="0"/>
    <pivotField axis="axisRow" showAll="0">
      <items count="4">
        <item x="1"/>
        <item x="0"/>
        <item x="2"/>
        <item t="default"/>
      </items>
    </pivotField>
    <pivotField showAll="0"/>
  </pivotFields>
  <rowFields count="1">
    <field x="8"/>
  </rowFields>
  <rowItems count="4">
    <i>
      <x/>
    </i>
    <i>
      <x v="1"/>
    </i>
    <i>
      <x v="2"/>
    </i>
    <i t="grand">
      <x/>
    </i>
  </rowItems>
  <colItems count="1">
    <i/>
  </colItems>
  <dataFields count="1">
    <dataField name="Count of Product"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7:E11" firstHeaderRow="1" firstDataRow="1" firstDataCol="1"/>
  <pivotFields count="10">
    <pivotField dataField="1" showAll="0"/>
    <pivotField showAll="0"/>
    <pivotField showAll="0"/>
    <pivotField numFmtId="9" showAll="0"/>
    <pivotField showAll="0"/>
    <pivotField showAll="0"/>
    <pivotField showAll="0"/>
    <pivotField showAll="0"/>
    <pivotField showAll="0">
      <items count="4">
        <item x="1"/>
        <item x="0"/>
        <item x="2"/>
        <item t="default"/>
      </items>
    </pivotField>
    <pivotField axis="axisRow" showAll="0">
      <items count="4">
        <item x="2"/>
        <item x="1"/>
        <item x="0"/>
        <item t="default"/>
      </items>
    </pivotField>
  </pivotFields>
  <rowFields count="1">
    <field x="9"/>
  </rowFields>
  <rowItems count="4">
    <i>
      <x/>
    </i>
    <i>
      <x v="1"/>
    </i>
    <i>
      <x v="2"/>
    </i>
    <i t="grand">
      <x/>
    </i>
  </rowItems>
  <colItems count="1">
    <i/>
  </colItems>
  <dataFields count="1">
    <dataField name="Count of Product"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2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M7:N18" firstHeaderRow="1" firstDataRow="1" firstDataCol="1"/>
  <pivotFields count="10">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showAll="0"/>
    <pivotField showAll="0"/>
    <pivotField dataField="1" numFmtId="9" showAll="0"/>
    <pivotField showAll="0"/>
    <pivotField showAll="0"/>
    <pivotField showAll="0"/>
    <pivotField showAll="0"/>
    <pivotField showAll="0">
      <items count="4">
        <item x="1"/>
        <item x="0"/>
        <item x="2"/>
        <item t="default"/>
      </items>
    </pivotField>
    <pivotField showAll="0">
      <items count="4">
        <item x="2"/>
        <item x="1"/>
        <item x="0"/>
        <item t="default"/>
      </items>
    </pivotField>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0"/>
  </dataFields>
  <formats count="1">
    <format dxfId="0">
      <pivotArea collapsedLevelsAreSubtotals="1" fieldPosition="0">
        <references count="1">
          <reference field="0" count="0"/>
        </references>
      </pivotArea>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2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7:H21" firstHeaderRow="1" firstDataRow="1" firstDataCol="1"/>
  <pivotFields count="10">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showAll="0"/>
    <pivotField dataField="1" showAll="0"/>
    <pivotField showAll="0"/>
    <pivotField showAll="0">
      <items count="4">
        <item x="1"/>
        <item x="0"/>
        <item x="2"/>
        <item t="default"/>
      </items>
    </pivotField>
    <pivotField showAll="0">
      <items count="4">
        <item x="2"/>
        <item x="1"/>
        <item x="0"/>
        <item t="default"/>
      </items>
    </pivotField>
  </pivotFields>
  <rowFields count="1">
    <field x="0"/>
  </rowFields>
  <rowItems count="14">
    <i>
      <x v="57"/>
    </i>
    <i>
      <x v="87"/>
    </i>
    <i>
      <x v="68"/>
    </i>
    <i>
      <x v="40"/>
    </i>
    <i>
      <x v="44"/>
    </i>
    <i>
      <x v="52"/>
    </i>
    <i>
      <x v="22"/>
    </i>
    <i>
      <x v="90"/>
    </i>
    <i>
      <x v="70"/>
    </i>
    <i>
      <x v="107"/>
    </i>
    <i>
      <x v="4"/>
    </i>
    <i>
      <x v="1"/>
    </i>
    <i>
      <x v="28"/>
    </i>
    <i t="grand">
      <x/>
    </i>
  </rowItems>
  <colItems count="1">
    <i/>
  </colItems>
  <dataFields count="1">
    <dataField name="Average of Ratingd" fld="6" subtotal="average"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2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J7:K18" firstHeaderRow="1" firstDataRow="1" firstDataCol="1"/>
  <pivotFields count="10">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dataField="1" showAll="0"/>
    <pivotField showAll="0"/>
    <pivotField showAll="0"/>
    <pivotField showAll="0">
      <items count="4">
        <item x="1"/>
        <item x="0"/>
        <item x="2"/>
        <item t="default"/>
      </items>
    </pivotField>
    <pivotField showAll="0">
      <items count="4">
        <item x="2"/>
        <item x="1"/>
        <item x="0"/>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s" fld="5"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1000000}" sourceName="Rating category">
  <pivotTables>
    <pivotTable tabId="16" name="PivotTable25"/>
    <pivotTable tabId="16" name="PivotTable17"/>
    <pivotTable tabId="16" name="PivotTable27"/>
    <pivotTable tabId="16" name="PivotTable29"/>
  </pivotTables>
  <data>
    <tabular pivotCacheId="2094066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0000000-0013-0000-FFFF-FFFF02000000}" sourceName="Discount category">
  <pivotTables>
    <pivotTable tabId="16" name="PivotTable25"/>
    <pivotTable tabId="16" name="PivotTable17"/>
    <pivotTable tabId="16" name="PivotTable27"/>
    <pivotTable tabId="16" name="PivotTable29"/>
  </pivotTables>
  <data>
    <tabular pivotCacheId="2094066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00000000-0014-0000-FFFF-FFFF01000000}" cache="Slicer_Rating_category" caption="Rating category" rowHeight="241300"/>
  <slicer name="Discount category" xr10:uid="{00000000-0014-0000-FFFF-FFFF02000000}" cache="Slicer_Discount_category" caption="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7"/>
  <sheetViews>
    <sheetView workbookViewId="0">
      <selection activeCell="B7" sqref="B7"/>
    </sheetView>
  </sheetViews>
  <sheetFormatPr defaultRowHeight="14.5" x14ac:dyDescent="0.35"/>
  <cols>
    <col min="1" max="1" width="10.7265625" bestFit="1" customWidth="1"/>
    <col min="2" max="2" width="17.7265625" bestFit="1" customWidth="1"/>
    <col min="3" max="3" width="15" bestFit="1" customWidth="1"/>
  </cols>
  <sheetData>
    <row r="3" spans="1:3" x14ac:dyDescent="0.35">
      <c r="A3" s="4" t="s">
        <v>131</v>
      </c>
      <c r="B3" t="s">
        <v>129</v>
      </c>
      <c r="C3" t="s">
        <v>130</v>
      </c>
    </row>
    <row r="4" spans="1:3" x14ac:dyDescent="0.35">
      <c r="A4" s="5" t="s">
        <v>125</v>
      </c>
      <c r="B4" s="6">
        <v>0.48123076923076907</v>
      </c>
      <c r="C4" s="6">
        <v>65</v>
      </c>
    </row>
    <row r="5" spans="1:3" x14ac:dyDescent="0.35">
      <c r="A5" s="5" t="s">
        <v>126</v>
      </c>
      <c r="B5" s="6">
        <v>7.2222222222222243E-2</v>
      </c>
      <c r="C5" s="6">
        <v>18</v>
      </c>
    </row>
    <row r="6" spans="1:3" x14ac:dyDescent="0.35">
      <c r="A6" s="5" t="s">
        <v>127</v>
      </c>
      <c r="B6" s="6">
        <v>0.31000000000000005</v>
      </c>
      <c r="C6" s="6">
        <v>32</v>
      </c>
    </row>
    <row r="7" spans="1:3" x14ac:dyDescent="0.35">
      <c r="A7" s="5" t="s">
        <v>128</v>
      </c>
      <c r="B7" s="6">
        <v>0.36956521739130455</v>
      </c>
      <c r="C7" s="6">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A3" sqref="A3"/>
    </sheetView>
  </sheetViews>
  <sheetFormatPr defaultRowHeight="14.5" x14ac:dyDescent="0.35"/>
  <cols>
    <col min="1" max="1" width="12.36328125" bestFit="1" customWidth="1"/>
    <col min="2" max="2" width="15.36328125" bestFit="1" customWidth="1"/>
  </cols>
  <sheetData>
    <row r="3" spans="1:2" x14ac:dyDescent="0.35">
      <c r="A3" s="4" t="s">
        <v>124</v>
      </c>
      <c r="B3" t="s">
        <v>138</v>
      </c>
    </row>
    <row r="4" spans="1:2" x14ac:dyDescent="0.35">
      <c r="A4" s="5" t="s">
        <v>125</v>
      </c>
      <c r="B4" s="6">
        <v>65</v>
      </c>
    </row>
    <row r="5" spans="1:2" x14ac:dyDescent="0.35">
      <c r="A5" s="5" t="s">
        <v>126</v>
      </c>
      <c r="B5" s="6">
        <v>18</v>
      </c>
    </row>
    <row r="6" spans="1:2" x14ac:dyDescent="0.35">
      <c r="A6" s="5" t="s">
        <v>127</v>
      </c>
      <c r="B6" s="6">
        <v>32</v>
      </c>
    </row>
    <row r="7" spans="1:2" x14ac:dyDescent="0.35">
      <c r="A7" s="5" t="s">
        <v>128</v>
      </c>
      <c r="B7" s="6">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C8" sqref="C8"/>
    </sheetView>
  </sheetViews>
  <sheetFormatPr defaultRowHeight="14.5" x14ac:dyDescent="0.35"/>
  <cols>
    <col min="1" max="1" width="12.36328125" bestFit="1" customWidth="1"/>
    <col min="2" max="2" width="15.26953125" bestFit="1" customWidth="1"/>
  </cols>
  <sheetData>
    <row r="3" spans="1:2" x14ac:dyDescent="0.35">
      <c r="A3" s="4" t="s">
        <v>124</v>
      </c>
      <c r="B3" t="s">
        <v>132</v>
      </c>
    </row>
    <row r="4" spans="1:2" x14ac:dyDescent="0.35">
      <c r="A4" s="5" t="s">
        <v>133</v>
      </c>
      <c r="B4" s="6">
        <v>20</v>
      </c>
    </row>
    <row r="5" spans="1:2" x14ac:dyDescent="0.35">
      <c r="A5" s="5" t="s">
        <v>134</v>
      </c>
      <c r="B5" s="6">
        <v>85</v>
      </c>
    </row>
    <row r="6" spans="1:2" x14ac:dyDescent="0.35">
      <c r="A6" s="5" t="s">
        <v>135</v>
      </c>
      <c r="B6" s="6">
        <v>10</v>
      </c>
    </row>
    <row r="7" spans="1:2" x14ac:dyDescent="0.35">
      <c r="A7" s="5" t="s">
        <v>128</v>
      </c>
      <c r="B7" s="6">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A3" sqref="A3"/>
    </sheetView>
  </sheetViews>
  <sheetFormatPr defaultRowHeight="14.5" x14ac:dyDescent="0.35"/>
  <cols>
    <col min="1" max="1" width="12.36328125" bestFit="1" customWidth="1"/>
    <col min="2" max="2" width="14.54296875" bestFit="1" customWidth="1"/>
  </cols>
  <sheetData>
    <row r="3" spans="1:2" x14ac:dyDescent="0.35">
      <c r="A3" s="4" t="s">
        <v>124</v>
      </c>
      <c r="B3" t="s">
        <v>140</v>
      </c>
    </row>
    <row r="4" spans="1:2" x14ac:dyDescent="0.35">
      <c r="A4" s="5" t="s">
        <v>133</v>
      </c>
      <c r="B4" s="6">
        <v>20</v>
      </c>
    </row>
    <row r="5" spans="1:2" x14ac:dyDescent="0.35">
      <c r="A5" s="5" t="s">
        <v>134</v>
      </c>
      <c r="B5" s="6">
        <v>85</v>
      </c>
    </row>
    <row r="6" spans="1:2" x14ac:dyDescent="0.35">
      <c r="A6" s="5" t="s">
        <v>135</v>
      </c>
      <c r="B6" s="6">
        <v>10</v>
      </c>
    </row>
    <row r="7" spans="1:2" x14ac:dyDescent="0.35">
      <c r="A7" s="5" t="s">
        <v>128</v>
      </c>
      <c r="B7" s="6">
        <v>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7"/>
  <sheetViews>
    <sheetView workbookViewId="0">
      <selection activeCell="E5" sqref="E5"/>
    </sheetView>
  </sheetViews>
  <sheetFormatPr defaultRowHeight="14.5" x14ac:dyDescent="0.35"/>
  <cols>
    <col min="1" max="1" width="12.36328125" bestFit="1" customWidth="1"/>
    <col min="2" max="2" width="16.6328125" bestFit="1" customWidth="1"/>
    <col min="3" max="3" width="17.08984375" bestFit="1" customWidth="1"/>
  </cols>
  <sheetData>
    <row r="3" spans="1:5" x14ac:dyDescent="0.35">
      <c r="A3" s="4" t="s">
        <v>124</v>
      </c>
      <c r="B3" t="s">
        <v>146</v>
      </c>
      <c r="C3" t="s">
        <v>147</v>
      </c>
    </row>
    <row r="4" spans="1:5" x14ac:dyDescent="0.35">
      <c r="A4" s="5" t="s">
        <v>125</v>
      </c>
      <c r="B4" s="6">
        <v>3.6814814814814811</v>
      </c>
      <c r="C4" s="6">
        <v>12.25925925925926</v>
      </c>
    </row>
    <row r="5" spans="1:5" x14ac:dyDescent="0.35">
      <c r="A5" s="5" t="s">
        <v>126</v>
      </c>
      <c r="B5" s="6">
        <v>4.1333333333333329</v>
      </c>
      <c r="C5" s="6">
        <v>10.666666666666666</v>
      </c>
      <c r="E5" t="s">
        <v>149</v>
      </c>
    </row>
    <row r="6" spans="1:5" x14ac:dyDescent="0.35">
      <c r="A6" s="5" t="s">
        <v>127</v>
      </c>
      <c r="B6" s="6">
        <v>4.2454545454545451</v>
      </c>
      <c r="C6" s="6">
        <v>15.909090909090908</v>
      </c>
      <c r="E6" t="s">
        <v>148</v>
      </c>
    </row>
    <row r="7" spans="1:5" x14ac:dyDescent="0.35">
      <c r="A7" s="5" t="s">
        <v>128</v>
      </c>
      <c r="B7" s="6">
        <v>3.946153846153845</v>
      </c>
      <c r="C7" s="6">
        <v>13.711538461538462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16"/>
  <sheetViews>
    <sheetView workbookViewId="0">
      <pane ySplit="1" topLeftCell="A104" activePane="bottomLeft" state="frozen"/>
      <selection pane="bottomLeft" sqref="A1:J116"/>
    </sheetView>
  </sheetViews>
  <sheetFormatPr defaultRowHeight="14.5" x14ac:dyDescent="0.35"/>
  <cols>
    <col min="2" max="3" width="8.7265625" style="3"/>
    <col min="4" max="4" width="8.7265625" style="1"/>
    <col min="6" max="6" width="8.7265625" customWidth="1"/>
  </cols>
  <sheetData>
    <row r="1" spans="1:10" x14ac:dyDescent="0.35">
      <c r="A1" t="s">
        <v>0</v>
      </c>
      <c r="B1" s="3" t="s">
        <v>1</v>
      </c>
      <c r="C1" s="3" t="s">
        <v>2</v>
      </c>
      <c r="D1" s="1" t="s">
        <v>3</v>
      </c>
      <c r="E1" t="s">
        <v>4</v>
      </c>
      <c r="F1" t="s">
        <v>118</v>
      </c>
      <c r="G1" t="s">
        <v>5</v>
      </c>
      <c r="H1" t="s">
        <v>121</v>
      </c>
      <c r="I1" t="s">
        <v>120</v>
      </c>
      <c r="J1" t="s">
        <v>119</v>
      </c>
    </row>
    <row r="2" spans="1:10" x14ac:dyDescent="0.35">
      <c r="A2" t="s">
        <v>35</v>
      </c>
      <c r="B2" s="3">
        <v>2200</v>
      </c>
      <c r="C2" s="3">
        <v>4080</v>
      </c>
      <c r="D2" s="1">
        <v>0.46</v>
      </c>
      <c r="E2" t="s">
        <v>115</v>
      </c>
      <c r="F2" t="s">
        <v>115</v>
      </c>
      <c r="G2" t="s">
        <v>115</v>
      </c>
      <c r="H2" s="3">
        <f t="shared" ref="H2:H33" si="0">C2-B2</f>
        <v>1880</v>
      </c>
      <c r="I2" t="str">
        <f t="shared" ref="I2:I33" si="1">IF(G2&lt;3, "Poor", IF(G2&lt;=4.4, "Average", IF(G2&gt;=4.5, "Excellent")))</f>
        <v>Excellent</v>
      </c>
      <c r="J2" t="str">
        <f t="shared" ref="J2:J33" si="2">IF(D2&lt;20%, "Low", IF(D2&lt;=40%, "Medium", "High"))</f>
        <v>High</v>
      </c>
    </row>
    <row r="3" spans="1:10" x14ac:dyDescent="0.35">
      <c r="A3" t="s">
        <v>45</v>
      </c>
      <c r="B3" s="3">
        <v>2750</v>
      </c>
      <c r="C3" s="3">
        <v>4471</v>
      </c>
      <c r="D3" s="1">
        <v>0.38</v>
      </c>
      <c r="E3" t="s">
        <v>115</v>
      </c>
      <c r="F3" t="s">
        <v>115</v>
      </c>
      <c r="G3" t="s">
        <v>115</v>
      </c>
      <c r="H3" s="3">
        <f t="shared" si="0"/>
        <v>1721</v>
      </c>
      <c r="I3" t="str">
        <f t="shared" si="1"/>
        <v>Excellent</v>
      </c>
      <c r="J3" t="str">
        <f t="shared" si="2"/>
        <v>Medium</v>
      </c>
    </row>
    <row r="4" spans="1:10" x14ac:dyDescent="0.35">
      <c r="A4" t="s">
        <v>27</v>
      </c>
      <c r="B4" s="3">
        <v>1860</v>
      </c>
      <c r="C4" s="3">
        <v>3220</v>
      </c>
      <c r="D4" s="1">
        <v>0.42</v>
      </c>
      <c r="E4" t="s">
        <v>115</v>
      </c>
      <c r="F4" t="s">
        <v>115</v>
      </c>
      <c r="G4" t="s">
        <v>115</v>
      </c>
      <c r="H4" s="3">
        <f t="shared" si="0"/>
        <v>1360</v>
      </c>
      <c r="I4" t="str">
        <f t="shared" si="1"/>
        <v>Excellent</v>
      </c>
      <c r="J4" t="str">
        <f t="shared" si="2"/>
        <v>High</v>
      </c>
    </row>
    <row r="5" spans="1:10" x14ac:dyDescent="0.35">
      <c r="A5" t="s">
        <v>94</v>
      </c>
      <c r="B5" s="3">
        <v>1300</v>
      </c>
      <c r="C5" s="3">
        <v>2500</v>
      </c>
      <c r="D5" s="1">
        <v>0.48</v>
      </c>
      <c r="E5" t="s">
        <v>115</v>
      </c>
      <c r="F5" t="s">
        <v>115</v>
      </c>
      <c r="G5" t="s">
        <v>115</v>
      </c>
      <c r="H5" s="3">
        <f t="shared" si="0"/>
        <v>1200</v>
      </c>
      <c r="I5" t="str">
        <f t="shared" si="1"/>
        <v>Excellent</v>
      </c>
      <c r="J5" t="str">
        <f t="shared" si="2"/>
        <v>High</v>
      </c>
    </row>
    <row r="6" spans="1:10" x14ac:dyDescent="0.35">
      <c r="A6" t="s">
        <v>97</v>
      </c>
      <c r="B6" s="3">
        <v>1200</v>
      </c>
      <c r="C6" s="3">
        <v>2400</v>
      </c>
      <c r="D6" s="1">
        <v>0.5</v>
      </c>
      <c r="E6" t="s">
        <v>115</v>
      </c>
      <c r="F6" t="s">
        <v>115</v>
      </c>
      <c r="G6" t="s">
        <v>115</v>
      </c>
      <c r="H6" s="3">
        <f t="shared" si="0"/>
        <v>1200</v>
      </c>
      <c r="I6" t="str">
        <f t="shared" si="1"/>
        <v>Excellent</v>
      </c>
      <c r="J6" t="str">
        <f t="shared" si="2"/>
        <v>High</v>
      </c>
    </row>
    <row r="7" spans="1:10" x14ac:dyDescent="0.35">
      <c r="A7" t="s">
        <v>63</v>
      </c>
      <c r="B7" s="3">
        <v>2799</v>
      </c>
      <c r="C7" s="3">
        <v>3810</v>
      </c>
      <c r="D7" s="1">
        <v>0.27</v>
      </c>
      <c r="E7" t="s">
        <v>115</v>
      </c>
      <c r="F7" t="s">
        <v>115</v>
      </c>
      <c r="G7" t="s">
        <v>115</v>
      </c>
      <c r="H7" s="3">
        <f t="shared" si="0"/>
        <v>1011</v>
      </c>
      <c r="I7" t="str">
        <f t="shared" si="1"/>
        <v>Excellent</v>
      </c>
      <c r="J7" t="str">
        <f t="shared" si="2"/>
        <v>Medium</v>
      </c>
    </row>
    <row r="8" spans="1:10" x14ac:dyDescent="0.35">
      <c r="A8" t="s">
        <v>83</v>
      </c>
      <c r="B8" s="3">
        <v>1189</v>
      </c>
      <c r="C8" s="3">
        <v>2199</v>
      </c>
      <c r="D8" s="1">
        <v>0.46</v>
      </c>
      <c r="E8" t="s">
        <v>115</v>
      </c>
      <c r="F8" t="s">
        <v>115</v>
      </c>
      <c r="G8" t="s">
        <v>115</v>
      </c>
      <c r="H8" s="3">
        <f t="shared" si="0"/>
        <v>1010</v>
      </c>
      <c r="I8" t="str">
        <f t="shared" si="1"/>
        <v>Excellent</v>
      </c>
      <c r="J8" t="str">
        <f t="shared" si="2"/>
        <v>High</v>
      </c>
    </row>
    <row r="9" spans="1:10" x14ac:dyDescent="0.35">
      <c r="A9" t="s">
        <v>50</v>
      </c>
      <c r="B9" s="3">
        <v>999</v>
      </c>
      <c r="C9" s="3">
        <v>2000</v>
      </c>
      <c r="D9" s="1">
        <v>0.5</v>
      </c>
      <c r="E9" t="s">
        <v>115</v>
      </c>
      <c r="F9" t="s">
        <v>115</v>
      </c>
      <c r="G9" t="s">
        <v>115</v>
      </c>
      <c r="H9" s="3">
        <f t="shared" si="0"/>
        <v>1001</v>
      </c>
      <c r="I9" t="str">
        <f t="shared" si="1"/>
        <v>Excellent</v>
      </c>
      <c r="J9" t="str">
        <f t="shared" si="2"/>
        <v>High</v>
      </c>
    </row>
    <row r="10" spans="1:10" x14ac:dyDescent="0.35">
      <c r="A10" t="s">
        <v>105</v>
      </c>
      <c r="B10" s="3">
        <v>1420</v>
      </c>
      <c r="C10" s="3">
        <v>2420</v>
      </c>
      <c r="D10" s="1">
        <v>0.41</v>
      </c>
      <c r="E10" t="s">
        <v>115</v>
      </c>
      <c r="F10" t="s">
        <v>115</v>
      </c>
      <c r="G10" t="s">
        <v>115</v>
      </c>
      <c r="H10" s="3">
        <f t="shared" si="0"/>
        <v>1000</v>
      </c>
      <c r="I10" t="str">
        <f t="shared" si="1"/>
        <v>Excellent</v>
      </c>
      <c r="J10" t="str">
        <f t="shared" si="2"/>
        <v>High</v>
      </c>
    </row>
    <row r="11" spans="1:10" x14ac:dyDescent="0.35">
      <c r="A11" t="s">
        <v>104</v>
      </c>
      <c r="B11" s="3">
        <v>3640</v>
      </c>
      <c r="C11" s="3">
        <v>4588</v>
      </c>
      <c r="D11" s="1">
        <v>0.21</v>
      </c>
      <c r="E11" t="s">
        <v>115</v>
      </c>
      <c r="F11" t="s">
        <v>115</v>
      </c>
      <c r="G11" t="s">
        <v>115</v>
      </c>
      <c r="H11" s="3">
        <f t="shared" si="0"/>
        <v>948</v>
      </c>
      <c r="I11" t="str">
        <f t="shared" si="1"/>
        <v>Excellent</v>
      </c>
      <c r="J11" t="str">
        <f t="shared" si="2"/>
        <v>Medium</v>
      </c>
    </row>
    <row r="12" spans="1:10" x14ac:dyDescent="0.35">
      <c r="A12" t="s">
        <v>93</v>
      </c>
      <c r="B12" s="3">
        <v>850</v>
      </c>
      <c r="C12" s="3">
        <v>1700</v>
      </c>
      <c r="D12" s="1">
        <v>0.5</v>
      </c>
      <c r="E12" t="s">
        <v>115</v>
      </c>
      <c r="F12" t="s">
        <v>115</v>
      </c>
      <c r="G12" t="s">
        <v>115</v>
      </c>
      <c r="H12" s="3">
        <f t="shared" si="0"/>
        <v>850</v>
      </c>
      <c r="I12" t="str">
        <f t="shared" si="1"/>
        <v>Excellent</v>
      </c>
      <c r="J12" t="str">
        <f t="shared" si="2"/>
        <v>High</v>
      </c>
    </row>
    <row r="13" spans="1:10" x14ac:dyDescent="0.35">
      <c r="A13" t="s">
        <v>85</v>
      </c>
      <c r="B13" s="3">
        <v>1460</v>
      </c>
      <c r="C13" s="3">
        <v>2290</v>
      </c>
      <c r="D13" s="1">
        <v>0.36</v>
      </c>
      <c r="E13" t="s">
        <v>115</v>
      </c>
      <c r="F13" t="s">
        <v>115</v>
      </c>
      <c r="G13" t="s">
        <v>115</v>
      </c>
      <c r="H13" s="3">
        <f t="shared" si="0"/>
        <v>830</v>
      </c>
      <c r="I13" t="str">
        <f t="shared" si="1"/>
        <v>Excellent</v>
      </c>
      <c r="J13" t="str">
        <f t="shared" si="2"/>
        <v>Medium</v>
      </c>
    </row>
    <row r="14" spans="1:10" x14ac:dyDescent="0.35">
      <c r="A14" t="s">
        <v>96</v>
      </c>
      <c r="B14" s="3">
        <v>899</v>
      </c>
      <c r="C14" s="3">
        <v>1699</v>
      </c>
      <c r="D14" s="1">
        <v>0.47</v>
      </c>
      <c r="E14" t="s">
        <v>115</v>
      </c>
      <c r="F14" t="s">
        <v>115</v>
      </c>
      <c r="G14" t="s">
        <v>115</v>
      </c>
      <c r="H14" s="3">
        <f t="shared" si="0"/>
        <v>800</v>
      </c>
      <c r="I14" t="str">
        <f t="shared" si="1"/>
        <v>Excellent</v>
      </c>
      <c r="J14" t="str">
        <f t="shared" si="2"/>
        <v>High</v>
      </c>
    </row>
    <row r="15" spans="1:10" x14ac:dyDescent="0.35">
      <c r="A15" t="s">
        <v>96</v>
      </c>
      <c r="B15" s="3">
        <v>899</v>
      </c>
      <c r="C15" s="3">
        <v>1699</v>
      </c>
      <c r="D15" s="1">
        <v>0.47</v>
      </c>
      <c r="E15" t="s">
        <v>115</v>
      </c>
      <c r="F15" t="s">
        <v>115</v>
      </c>
      <c r="G15" t="s">
        <v>115</v>
      </c>
      <c r="H15" s="3">
        <f t="shared" si="0"/>
        <v>800</v>
      </c>
      <c r="I15" t="str">
        <f t="shared" si="1"/>
        <v>Excellent</v>
      </c>
      <c r="J15" t="str">
        <f t="shared" si="2"/>
        <v>High</v>
      </c>
    </row>
    <row r="16" spans="1:10" x14ac:dyDescent="0.35">
      <c r="A16" t="s">
        <v>103</v>
      </c>
      <c r="B16" s="3">
        <v>1080</v>
      </c>
      <c r="C16" s="3">
        <v>1874</v>
      </c>
      <c r="D16" s="1">
        <v>0.42</v>
      </c>
      <c r="E16" t="s">
        <v>115</v>
      </c>
      <c r="F16" t="s">
        <v>115</v>
      </c>
      <c r="G16" t="s">
        <v>115</v>
      </c>
      <c r="H16" s="3">
        <f t="shared" si="0"/>
        <v>794</v>
      </c>
      <c r="I16" t="str">
        <f t="shared" si="1"/>
        <v>Excellent</v>
      </c>
      <c r="J16" t="str">
        <f t="shared" si="2"/>
        <v>High</v>
      </c>
    </row>
    <row r="17" spans="1:12" x14ac:dyDescent="0.35">
      <c r="A17" t="s">
        <v>62</v>
      </c>
      <c r="B17" s="3">
        <v>799</v>
      </c>
      <c r="C17" s="3">
        <v>1567</v>
      </c>
      <c r="D17" s="1">
        <v>0.49</v>
      </c>
      <c r="E17" t="s">
        <v>115</v>
      </c>
      <c r="F17" t="s">
        <v>115</v>
      </c>
      <c r="G17" t="s">
        <v>115</v>
      </c>
      <c r="H17" s="3">
        <f t="shared" si="0"/>
        <v>768</v>
      </c>
      <c r="I17" t="str">
        <f t="shared" si="1"/>
        <v>Excellent</v>
      </c>
      <c r="J17" t="str">
        <f t="shared" si="2"/>
        <v>High</v>
      </c>
    </row>
    <row r="18" spans="1:12" x14ac:dyDescent="0.35">
      <c r="A18" t="s">
        <v>53</v>
      </c>
      <c r="B18" s="3">
        <v>1200</v>
      </c>
      <c r="C18" s="3">
        <v>1950</v>
      </c>
      <c r="D18" s="1">
        <v>0.38</v>
      </c>
      <c r="E18" t="s">
        <v>115</v>
      </c>
      <c r="F18" t="s">
        <v>115</v>
      </c>
      <c r="G18" t="s">
        <v>115</v>
      </c>
      <c r="H18" s="3">
        <f t="shared" si="0"/>
        <v>750</v>
      </c>
      <c r="I18" t="str">
        <f t="shared" si="1"/>
        <v>Excellent</v>
      </c>
      <c r="J18" t="str">
        <f t="shared" si="2"/>
        <v>Medium</v>
      </c>
    </row>
    <row r="19" spans="1:12" x14ac:dyDescent="0.35">
      <c r="A19" t="s">
        <v>79</v>
      </c>
      <c r="B19" s="3">
        <v>790</v>
      </c>
      <c r="C19" s="3">
        <v>1485</v>
      </c>
      <c r="D19" s="1">
        <v>0.47</v>
      </c>
      <c r="E19" t="s">
        <v>115</v>
      </c>
      <c r="F19" t="s">
        <v>115</v>
      </c>
      <c r="G19" t="s">
        <v>115</v>
      </c>
      <c r="H19" s="3">
        <f t="shared" si="0"/>
        <v>695</v>
      </c>
      <c r="I19" t="str">
        <f t="shared" si="1"/>
        <v>Excellent</v>
      </c>
      <c r="J19" t="str">
        <f t="shared" si="2"/>
        <v>High</v>
      </c>
    </row>
    <row r="20" spans="1:12" x14ac:dyDescent="0.35">
      <c r="A20" t="s">
        <v>52</v>
      </c>
      <c r="B20" s="3">
        <v>671</v>
      </c>
      <c r="C20" s="3">
        <v>1316</v>
      </c>
      <c r="D20" s="1">
        <v>0.49</v>
      </c>
      <c r="E20" t="s">
        <v>115</v>
      </c>
      <c r="F20" t="s">
        <v>115</v>
      </c>
      <c r="G20" t="s">
        <v>115</v>
      </c>
      <c r="H20" s="3">
        <f t="shared" si="0"/>
        <v>645</v>
      </c>
      <c r="I20" t="str">
        <f t="shared" si="1"/>
        <v>Excellent</v>
      </c>
      <c r="J20" t="str">
        <f t="shared" si="2"/>
        <v>High</v>
      </c>
    </row>
    <row r="21" spans="1:12" x14ac:dyDescent="0.35">
      <c r="A21" t="s">
        <v>61</v>
      </c>
      <c r="B21" s="3">
        <v>699</v>
      </c>
      <c r="C21" s="3">
        <v>1343</v>
      </c>
      <c r="D21" s="1">
        <v>0.48</v>
      </c>
      <c r="E21" t="s">
        <v>115</v>
      </c>
      <c r="F21" t="s">
        <v>115</v>
      </c>
      <c r="G21" t="s">
        <v>115</v>
      </c>
      <c r="H21" s="3">
        <f t="shared" si="0"/>
        <v>644</v>
      </c>
      <c r="I21" t="str">
        <f t="shared" si="1"/>
        <v>Excellent</v>
      </c>
      <c r="J21" t="str">
        <f t="shared" si="2"/>
        <v>High</v>
      </c>
    </row>
    <row r="22" spans="1:12" x14ac:dyDescent="0.35">
      <c r="A22" t="s">
        <v>62</v>
      </c>
      <c r="B22" s="3">
        <v>657</v>
      </c>
      <c r="C22" s="3">
        <v>1288</v>
      </c>
      <c r="D22" s="1">
        <v>0.49</v>
      </c>
      <c r="E22" t="s">
        <v>115</v>
      </c>
      <c r="F22" t="s">
        <v>115</v>
      </c>
      <c r="G22" t="s">
        <v>115</v>
      </c>
      <c r="H22" s="3">
        <f t="shared" si="0"/>
        <v>631</v>
      </c>
      <c r="I22" t="str">
        <f t="shared" si="1"/>
        <v>Excellent</v>
      </c>
      <c r="J22" t="str">
        <f t="shared" si="2"/>
        <v>High</v>
      </c>
    </row>
    <row r="23" spans="1:12" x14ac:dyDescent="0.35">
      <c r="A23" t="s">
        <v>109</v>
      </c>
      <c r="B23" s="3">
        <v>1190</v>
      </c>
      <c r="C23" s="3">
        <v>1810</v>
      </c>
      <c r="D23" s="1">
        <v>0.34</v>
      </c>
      <c r="E23" t="s">
        <v>115</v>
      </c>
      <c r="F23" t="s">
        <v>115</v>
      </c>
      <c r="G23" t="s">
        <v>115</v>
      </c>
      <c r="H23" s="3">
        <f t="shared" si="0"/>
        <v>620</v>
      </c>
      <c r="I23" t="str">
        <f t="shared" si="1"/>
        <v>Excellent</v>
      </c>
      <c r="J23" t="str">
        <f t="shared" si="2"/>
        <v>Medium</v>
      </c>
    </row>
    <row r="24" spans="1:12" x14ac:dyDescent="0.35">
      <c r="A24" t="s">
        <v>51</v>
      </c>
      <c r="B24" s="3">
        <v>1190</v>
      </c>
      <c r="C24" s="3">
        <v>1785</v>
      </c>
      <c r="D24" s="1">
        <v>0.33</v>
      </c>
      <c r="E24" t="s">
        <v>115</v>
      </c>
      <c r="F24" t="s">
        <v>115</v>
      </c>
      <c r="G24" t="s">
        <v>115</v>
      </c>
      <c r="H24" s="3">
        <f t="shared" si="0"/>
        <v>595</v>
      </c>
      <c r="I24" t="str">
        <f t="shared" si="1"/>
        <v>Excellent</v>
      </c>
      <c r="J24" t="str">
        <f t="shared" si="2"/>
        <v>Medium</v>
      </c>
    </row>
    <row r="25" spans="1:12" x14ac:dyDescent="0.35">
      <c r="A25" t="s">
        <v>108</v>
      </c>
      <c r="B25" s="3">
        <v>1150</v>
      </c>
      <c r="C25" s="3">
        <v>1737</v>
      </c>
      <c r="D25" s="1">
        <v>0.34</v>
      </c>
      <c r="E25" t="s">
        <v>115</v>
      </c>
      <c r="F25" t="s">
        <v>115</v>
      </c>
      <c r="G25" t="s">
        <v>115</v>
      </c>
      <c r="H25" s="3">
        <f t="shared" si="0"/>
        <v>587</v>
      </c>
      <c r="I25" t="str">
        <f t="shared" si="1"/>
        <v>Excellent</v>
      </c>
      <c r="J25" t="str">
        <f t="shared" si="2"/>
        <v>Medium</v>
      </c>
    </row>
    <row r="26" spans="1:12" x14ac:dyDescent="0.35">
      <c r="A26" t="s">
        <v>59</v>
      </c>
      <c r="B26" s="3">
        <v>799</v>
      </c>
      <c r="C26" s="3">
        <v>1343</v>
      </c>
      <c r="D26" s="1">
        <v>0.41</v>
      </c>
      <c r="E26" t="s">
        <v>115</v>
      </c>
      <c r="F26" t="s">
        <v>115</v>
      </c>
      <c r="G26" t="s">
        <v>115</v>
      </c>
      <c r="H26" s="3">
        <f t="shared" si="0"/>
        <v>544</v>
      </c>
      <c r="I26" t="str">
        <f t="shared" si="1"/>
        <v>Excellent</v>
      </c>
      <c r="J26" t="str">
        <f t="shared" si="2"/>
        <v>High</v>
      </c>
    </row>
    <row r="27" spans="1:12" x14ac:dyDescent="0.35">
      <c r="A27" t="s">
        <v>80</v>
      </c>
      <c r="B27" s="3">
        <v>690</v>
      </c>
      <c r="C27" s="3">
        <v>1200</v>
      </c>
      <c r="D27" s="1">
        <v>0.43</v>
      </c>
      <c r="E27" t="s">
        <v>115</v>
      </c>
      <c r="F27" t="s">
        <v>115</v>
      </c>
      <c r="G27" t="s">
        <v>115</v>
      </c>
      <c r="H27" s="3">
        <f t="shared" si="0"/>
        <v>510</v>
      </c>
      <c r="I27" t="str">
        <f t="shared" si="1"/>
        <v>Excellent</v>
      </c>
      <c r="J27" t="str">
        <f t="shared" si="2"/>
        <v>High</v>
      </c>
    </row>
    <row r="28" spans="1:12" x14ac:dyDescent="0.35">
      <c r="A28" t="s">
        <v>102</v>
      </c>
      <c r="B28" s="3">
        <v>525</v>
      </c>
      <c r="C28" s="3">
        <v>1029</v>
      </c>
      <c r="D28" s="1">
        <v>0.49</v>
      </c>
      <c r="E28" t="s">
        <v>115</v>
      </c>
      <c r="F28" t="s">
        <v>115</v>
      </c>
      <c r="G28" t="s">
        <v>115</v>
      </c>
      <c r="H28" s="3">
        <f t="shared" si="0"/>
        <v>504</v>
      </c>
      <c r="I28" t="str">
        <f t="shared" si="1"/>
        <v>Excellent</v>
      </c>
      <c r="J28" t="str">
        <f t="shared" si="2"/>
        <v>High</v>
      </c>
      <c r="L28" s="2" t="s">
        <v>142</v>
      </c>
    </row>
    <row r="29" spans="1:12" x14ac:dyDescent="0.35">
      <c r="A29" t="s">
        <v>60</v>
      </c>
      <c r="B29" s="3">
        <v>399</v>
      </c>
      <c r="C29" s="3">
        <v>896</v>
      </c>
      <c r="D29" s="1">
        <v>0.55000000000000004</v>
      </c>
      <c r="E29" t="s">
        <v>115</v>
      </c>
      <c r="F29" t="s">
        <v>115</v>
      </c>
      <c r="G29" t="s">
        <v>115</v>
      </c>
      <c r="H29" s="3">
        <f t="shared" si="0"/>
        <v>497</v>
      </c>
      <c r="I29" t="str">
        <f t="shared" si="1"/>
        <v>Excellent</v>
      </c>
      <c r="J29" t="str">
        <f t="shared" si="2"/>
        <v>High</v>
      </c>
      <c r="L29" t="s">
        <v>44</v>
      </c>
    </row>
    <row r="30" spans="1:12" x14ac:dyDescent="0.35">
      <c r="A30" t="s">
        <v>92</v>
      </c>
      <c r="B30" s="3">
        <v>630</v>
      </c>
      <c r="C30" s="3">
        <v>1100</v>
      </c>
      <c r="D30" s="1">
        <v>0.43</v>
      </c>
      <c r="E30" t="s">
        <v>115</v>
      </c>
      <c r="F30" t="s">
        <v>115</v>
      </c>
      <c r="G30" t="s">
        <v>115</v>
      </c>
      <c r="H30" s="3">
        <f t="shared" si="0"/>
        <v>470</v>
      </c>
      <c r="I30" t="str">
        <f t="shared" si="1"/>
        <v>Excellent</v>
      </c>
      <c r="J30" t="str">
        <f t="shared" si="2"/>
        <v>High</v>
      </c>
      <c r="L30" t="s">
        <v>66</v>
      </c>
    </row>
    <row r="31" spans="1:12" x14ac:dyDescent="0.35">
      <c r="A31" t="s">
        <v>46</v>
      </c>
      <c r="B31" s="3">
        <v>475</v>
      </c>
      <c r="C31" s="3">
        <v>931</v>
      </c>
      <c r="D31" s="1">
        <v>0.49</v>
      </c>
      <c r="E31" t="s">
        <v>115</v>
      </c>
      <c r="F31" t="s">
        <v>115</v>
      </c>
      <c r="G31" t="s">
        <v>115</v>
      </c>
      <c r="H31" s="3">
        <f t="shared" si="0"/>
        <v>456</v>
      </c>
      <c r="I31" t="str">
        <f t="shared" si="1"/>
        <v>Excellent</v>
      </c>
      <c r="J31" t="str">
        <f t="shared" si="2"/>
        <v>High</v>
      </c>
      <c r="L31" t="s">
        <v>30</v>
      </c>
    </row>
    <row r="32" spans="1:12" x14ac:dyDescent="0.35">
      <c r="A32" t="s">
        <v>48</v>
      </c>
      <c r="B32" s="3">
        <v>610</v>
      </c>
      <c r="C32" s="3">
        <v>1060</v>
      </c>
      <c r="D32" s="1">
        <v>0.42</v>
      </c>
      <c r="E32" t="s">
        <v>115</v>
      </c>
      <c r="F32" t="s">
        <v>115</v>
      </c>
      <c r="G32" t="s">
        <v>115</v>
      </c>
      <c r="H32" s="3">
        <f t="shared" si="0"/>
        <v>450</v>
      </c>
      <c r="I32" t="str">
        <f t="shared" si="1"/>
        <v>Excellent</v>
      </c>
      <c r="J32" t="str">
        <f t="shared" si="2"/>
        <v>High</v>
      </c>
      <c r="L32" t="s">
        <v>72</v>
      </c>
    </row>
    <row r="33" spans="1:12" x14ac:dyDescent="0.35">
      <c r="A33" t="s">
        <v>48</v>
      </c>
      <c r="B33" s="3">
        <v>610</v>
      </c>
      <c r="C33" s="3">
        <v>1060</v>
      </c>
      <c r="D33" s="1">
        <v>0.42</v>
      </c>
      <c r="E33" t="s">
        <v>115</v>
      </c>
      <c r="F33" t="s">
        <v>115</v>
      </c>
      <c r="G33" t="s">
        <v>115</v>
      </c>
      <c r="H33" s="3">
        <f t="shared" si="0"/>
        <v>450</v>
      </c>
      <c r="I33" t="str">
        <f t="shared" si="1"/>
        <v>Excellent</v>
      </c>
      <c r="J33" t="str">
        <f t="shared" si="2"/>
        <v>High</v>
      </c>
      <c r="L33" t="s">
        <v>23</v>
      </c>
    </row>
    <row r="34" spans="1:12" x14ac:dyDescent="0.35">
      <c r="A34" t="s">
        <v>48</v>
      </c>
      <c r="B34" s="3">
        <v>610</v>
      </c>
      <c r="C34" s="3">
        <v>1060</v>
      </c>
      <c r="D34" s="1">
        <v>0.42</v>
      </c>
      <c r="E34" t="s">
        <v>115</v>
      </c>
      <c r="F34" t="s">
        <v>115</v>
      </c>
      <c r="G34" t="s">
        <v>115</v>
      </c>
      <c r="H34" s="3">
        <f t="shared" ref="H34:H65" si="3">C34-B34</f>
        <v>450</v>
      </c>
      <c r="I34" t="str">
        <f t="shared" ref="I34:I65" si="4">IF(G34&lt;3, "Poor", IF(G34&lt;=4.4, "Average", IF(G34&gt;=4.5, "Excellent")))</f>
        <v>Excellent</v>
      </c>
      <c r="J34" t="str">
        <f t="shared" ref="J34:J65" si="5">IF(D34&lt;20%, "Low", IF(D34&lt;=40%, "Medium", "High"))</f>
        <v>High</v>
      </c>
      <c r="L34" t="s">
        <v>35</v>
      </c>
    </row>
    <row r="35" spans="1:12" x14ac:dyDescent="0.35">
      <c r="A35" t="s">
        <v>113</v>
      </c>
      <c r="B35" s="3">
        <v>450</v>
      </c>
      <c r="C35" s="3">
        <v>900</v>
      </c>
      <c r="D35" s="1">
        <v>0.5</v>
      </c>
      <c r="E35" t="s">
        <v>115</v>
      </c>
      <c r="F35" t="s">
        <v>115</v>
      </c>
      <c r="G35" t="s">
        <v>115</v>
      </c>
      <c r="H35" s="3">
        <f t="shared" si="3"/>
        <v>450</v>
      </c>
      <c r="I35" t="str">
        <f t="shared" si="4"/>
        <v>Excellent</v>
      </c>
      <c r="J35" t="str">
        <f t="shared" si="5"/>
        <v>High</v>
      </c>
      <c r="L35" t="s">
        <v>45</v>
      </c>
    </row>
    <row r="36" spans="1:12" x14ac:dyDescent="0.35">
      <c r="A36" t="s">
        <v>60</v>
      </c>
      <c r="B36" s="3">
        <v>499</v>
      </c>
      <c r="C36" s="3">
        <v>900</v>
      </c>
      <c r="D36" s="1">
        <v>0.45</v>
      </c>
      <c r="E36" t="s">
        <v>115</v>
      </c>
      <c r="F36" t="s">
        <v>115</v>
      </c>
      <c r="G36" t="s">
        <v>115</v>
      </c>
      <c r="H36" s="3">
        <f t="shared" si="3"/>
        <v>401</v>
      </c>
      <c r="I36" t="str">
        <f t="shared" si="4"/>
        <v>Excellent</v>
      </c>
      <c r="J36" t="str">
        <f t="shared" si="5"/>
        <v>High</v>
      </c>
      <c r="L36" t="s">
        <v>38</v>
      </c>
    </row>
    <row r="37" spans="1:12" x14ac:dyDescent="0.35">
      <c r="A37" t="s">
        <v>112</v>
      </c>
      <c r="B37" s="3">
        <v>199</v>
      </c>
      <c r="C37" s="3">
        <v>553</v>
      </c>
      <c r="D37" s="1">
        <v>0.64</v>
      </c>
      <c r="E37" t="s">
        <v>115</v>
      </c>
      <c r="F37" t="s">
        <v>115</v>
      </c>
      <c r="G37" t="s">
        <v>115</v>
      </c>
      <c r="H37" s="3">
        <f t="shared" si="3"/>
        <v>354</v>
      </c>
      <c r="I37" t="str">
        <f t="shared" si="4"/>
        <v>Excellent</v>
      </c>
      <c r="J37" t="str">
        <f t="shared" si="5"/>
        <v>High</v>
      </c>
      <c r="L37" t="s">
        <v>14</v>
      </c>
    </row>
    <row r="38" spans="1:12" x14ac:dyDescent="0.35">
      <c r="A38" t="s">
        <v>64</v>
      </c>
      <c r="B38" s="3">
        <v>2170</v>
      </c>
      <c r="C38" s="3">
        <v>2500</v>
      </c>
      <c r="D38" s="1">
        <v>0.13</v>
      </c>
      <c r="E38" t="s">
        <v>115</v>
      </c>
      <c r="F38" t="s">
        <v>115</v>
      </c>
      <c r="G38" t="s">
        <v>115</v>
      </c>
      <c r="H38" s="3">
        <f t="shared" si="3"/>
        <v>330</v>
      </c>
      <c r="I38" t="str">
        <f t="shared" si="4"/>
        <v>Excellent</v>
      </c>
      <c r="J38" t="str">
        <f t="shared" si="5"/>
        <v>Low</v>
      </c>
      <c r="L38" t="s">
        <v>78</v>
      </c>
    </row>
    <row r="39" spans="1:12" x14ac:dyDescent="0.35">
      <c r="A39" t="s">
        <v>87</v>
      </c>
      <c r="B39" s="3">
        <v>330</v>
      </c>
      <c r="C39" s="3">
        <v>647</v>
      </c>
      <c r="D39" s="1">
        <v>0.49</v>
      </c>
      <c r="E39" t="s">
        <v>115</v>
      </c>
      <c r="F39" t="s">
        <v>115</v>
      </c>
      <c r="G39" t="s">
        <v>115</v>
      </c>
      <c r="H39" s="3">
        <f t="shared" si="3"/>
        <v>317</v>
      </c>
      <c r="I39" t="str">
        <f t="shared" si="4"/>
        <v>Excellent</v>
      </c>
      <c r="J39" t="str">
        <f t="shared" si="5"/>
        <v>High</v>
      </c>
      <c r="L39" t="s">
        <v>27</v>
      </c>
    </row>
    <row r="40" spans="1:12" x14ac:dyDescent="0.35">
      <c r="A40" t="s">
        <v>54</v>
      </c>
      <c r="B40" s="3">
        <v>199</v>
      </c>
      <c r="C40" s="3">
        <v>504</v>
      </c>
      <c r="D40" s="1">
        <v>0.61</v>
      </c>
      <c r="E40" t="s">
        <v>115</v>
      </c>
      <c r="F40" t="s">
        <v>115</v>
      </c>
      <c r="G40" t="s">
        <v>115</v>
      </c>
      <c r="H40" s="3">
        <f t="shared" si="3"/>
        <v>305</v>
      </c>
      <c r="I40" t="str">
        <f t="shared" si="4"/>
        <v>Excellent</v>
      </c>
      <c r="J40" t="str">
        <f t="shared" si="5"/>
        <v>High</v>
      </c>
    </row>
    <row r="41" spans="1:12" x14ac:dyDescent="0.35">
      <c r="A41" t="s">
        <v>55</v>
      </c>
      <c r="B41" s="3">
        <v>299</v>
      </c>
      <c r="C41" s="3">
        <v>600</v>
      </c>
      <c r="D41" s="1">
        <v>0.5</v>
      </c>
      <c r="E41" t="s">
        <v>115</v>
      </c>
      <c r="F41" t="s">
        <v>115</v>
      </c>
      <c r="G41" t="s">
        <v>115</v>
      </c>
      <c r="H41" s="3">
        <f t="shared" si="3"/>
        <v>301</v>
      </c>
      <c r="I41" t="str">
        <f t="shared" si="4"/>
        <v>Excellent</v>
      </c>
      <c r="J41" t="str">
        <f t="shared" si="5"/>
        <v>High</v>
      </c>
      <c r="L41" s="2" t="s">
        <v>143</v>
      </c>
    </row>
    <row r="42" spans="1:12" x14ac:dyDescent="0.35">
      <c r="A42" t="s">
        <v>89</v>
      </c>
      <c r="B42" s="3">
        <v>274</v>
      </c>
      <c r="C42" s="3">
        <v>537</v>
      </c>
      <c r="D42" s="1">
        <v>0.49</v>
      </c>
      <c r="E42" t="s">
        <v>115</v>
      </c>
      <c r="F42" t="s">
        <v>115</v>
      </c>
      <c r="G42" t="s">
        <v>115</v>
      </c>
      <c r="H42" s="3">
        <f t="shared" si="3"/>
        <v>263</v>
      </c>
      <c r="I42" t="str">
        <f t="shared" si="4"/>
        <v>Excellent</v>
      </c>
      <c r="J42" t="str">
        <f t="shared" si="5"/>
        <v>High</v>
      </c>
      <c r="L42" t="s">
        <v>67</v>
      </c>
    </row>
    <row r="43" spans="1:12" x14ac:dyDescent="0.35">
      <c r="A43" t="s">
        <v>100</v>
      </c>
      <c r="B43" s="3">
        <v>248</v>
      </c>
      <c r="C43" s="3">
        <v>486</v>
      </c>
      <c r="D43" s="1">
        <v>0.49</v>
      </c>
      <c r="E43" t="s">
        <v>115</v>
      </c>
      <c r="F43" t="s">
        <v>115</v>
      </c>
      <c r="G43" t="s">
        <v>115</v>
      </c>
      <c r="H43" s="3">
        <f t="shared" si="3"/>
        <v>238</v>
      </c>
      <c r="I43" t="str">
        <f t="shared" si="4"/>
        <v>Excellent</v>
      </c>
      <c r="J43" t="str">
        <f t="shared" si="5"/>
        <v>High</v>
      </c>
      <c r="L43" t="s">
        <v>12</v>
      </c>
    </row>
    <row r="44" spans="1:12" x14ac:dyDescent="0.35">
      <c r="A44" t="s">
        <v>47</v>
      </c>
      <c r="B44" s="3">
        <v>238</v>
      </c>
      <c r="C44" s="3">
        <v>476</v>
      </c>
      <c r="D44" s="1">
        <v>0.5</v>
      </c>
      <c r="E44" t="s">
        <v>115</v>
      </c>
      <c r="F44" t="s">
        <v>115</v>
      </c>
      <c r="G44" t="s">
        <v>115</v>
      </c>
      <c r="H44" s="3">
        <f t="shared" si="3"/>
        <v>238</v>
      </c>
      <c r="I44" t="str">
        <f t="shared" si="4"/>
        <v>Excellent</v>
      </c>
      <c r="J44" t="str">
        <f t="shared" si="5"/>
        <v>High</v>
      </c>
      <c r="L44" t="s">
        <v>31</v>
      </c>
    </row>
    <row r="45" spans="1:12" x14ac:dyDescent="0.35">
      <c r="A45" t="s">
        <v>88</v>
      </c>
      <c r="B45" s="3">
        <v>1466</v>
      </c>
      <c r="C45" s="3">
        <v>1699</v>
      </c>
      <c r="D45" s="1">
        <v>0.14000000000000001</v>
      </c>
      <c r="E45" t="s">
        <v>115</v>
      </c>
      <c r="F45" t="s">
        <v>115</v>
      </c>
      <c r="G45" t="s">
        <v>115</v>
      </c>
      <c r="H45" s="3">
        <f t="shared" si="3"/>
        <v>233</v>
      </c>
      <c r="I45" t="str">
        <f t="shared" si="4"/>
        <v>Excellent</v>
      </c>
      <c r="J45" t="str">
        <f t="shared" si="5"/>
        <v>Low</v>
      </c>
      <c r="L45" t="s">
        <v>25</v>
      </c>
    </row>
    <row r="46" spans="1:12" x14ac:dyDescent="0.35">
      <c r="A46" t="s">
        <v>91</v>
      </c>
      <c r="B46" s="3">
        <v>1468</v>
      </c>
      <c r="C46" s="3">
        <v>1699</v>
      </c>
      <c r="D46" s="1">
        <v>0.14000000000000001</v>
      </c>
      <c r="E46" t="s">
        <v>115</v>
      </c>
      <c r="F46" t="s">
        <v>115</v>
      </c>
      <c r="G46" t="s">
        <v>115</v>
      </c>
      <c r="H46" s="3">
        <f t="shared" si="3"/>
        <v>231</v>
      </c>
      <c r="I46" t="str">
        <f t="shared" si="4"/>
        <v>Excellent</v>
      </c>
      <c r="J46" t="str">
        <f t="shared" si="5"/>
        <v>Low</v>
      </c>
      <c r="L46" t="s">
        <v>17</v>
      </c>
    </row>
    <row r="47" spans="1:12" x14ac:dyDescent="0.35">
      <c r="A47" t="s">
        <v>82</v>
      </c>
      <c r="B47" s="3">
        <v>230</v>
      </c>
      <c r="C47" s="3">
        <v>450</v>
      </c>
      <c r="D47" s="1">
        <v>0.49</v>
      </c>
      <c r="E47" t="s">
        <v>115</v>
      </c>
      <c r="F47" t="s">
        <v>115</v>
      </c>
      <c r="G47" t="s">
        <v>115</v>
      </c>
      <c r="H47" s="3">
        <f t="shared" si="3"/>
        <v>220</v>
      </c>
      <c r="I47" t="str">
        <f t="shared" si="4"/>
        <v>Excellent</v>
      </c>
      <c r="J47" t="str">
        <f t="shared" si="5"/>
        <v>High</v>
      </c>
      <c r="L47" t="s">
        <v>43</v>
      </c>
    </row>
    <row r="48" spans="1:12" x14ac:dyDescent="0.35">
      <c r="A48" t="s">
        <v>54</v>
      </c>
      <c r="B48" s="3">
        <v>176</v>
      </c>
      <c r="C48" s="3">
        <v>345</v>
      </c>
      <c r="D48" s="1">
        <v>0.49</v>
      </c>
      <c r="E48" t="s">
        <v>115</v>
      </c>
      <c r="F48" t="s">
        <v>115</v>
      </c>
      <c r="G48" t="s">
        <v>115</v>
      </c>
      <c r="H48" s="3">
        <f t="shared" si="3"/>
        <v>169</v>
      </c>
      <c r="I48" t="str">
        <f t="shared" si="4"/>
        <v>Excellent</v>
      </c>
      <c r="J48" t="str">
        <f t="shared" si="5"/>
        <v>High</v>
      </c>
      <c r="L48" t="s">
        <v>40</v>
      </c>
    </row>
    <row r="49" spans="1:12" x14ac:dyDescent="0.35">
      <c r="A49" t="s">
        <v>101</v>
      </c>
      <c r="B49" s="3">
        <v>3546</v>
      </c>
      <c r="C49" s="3">
        <v>3699</v>
      </c>
      <c r="D49" s="1">
        <v>0.04</v>
      </c>
      <c r="E49" t="s">
        <v>115</v>
      </c>
      <c r="F49" t="s">
        <v>115</v>
      </c>
      <c r="G49" t="s">
        <v>115</v>
      </c>
      <c r="H49" s="3">
        <f t="shared" si="3"/>
        <v>153</v>
      </c>
      <c r="I49" t="str">
        <f t="shared" si="4"/>
        <v>Excellent</v>
      </c>
      <c r="J49" t="str">
        <f t="shared" si="5"/>
        <v>Low</v>
      </c>
      <c r="L49" t="s">
        <v>8</v>
      </c>
    </row>
    <row r="50" spans="1:12" x14ac:dyDescent="0.35">
      <c r="A50" t="s">
        <v>114</v>
      </c>
      <c r="B50" s="3">
        <v>169</v>
      </c>
      <c r="C50" s="3">
        <v>320</v>
      </c>
      <c r="D50" s="1">
        <v>0.47</v>
      </c>
      <c r="E50" t="s">
        <v>115</v>
      </c>
      <c r="F50" t="s">
        <v>115</v>
      </c>
      <c r="G50" t="s">
        <v>115</v>
      </c>
      <c r="H50" s="3">
        <f t="shared" si="3"/>
        <v>151</v>
      </c>
      <c r="I50" t="str">
        <f t="shared" si="4"/>
        <v>Excellent</v>
      </c>
      <c r="J50" t="str">
        <f t="shared" si="5"/>
        <v>High</v>
      </c>
      <c r="L50" t="s">
        <v>34</v>
      </c>
    </row>
    <row r="51" spans="1:12" x14ac:dyDescent="0.35">
      <c r="A51" t="s">
        <v>98</v>
      </c>
      <c r="B51" s="3">
        <v>1526</v>
      </c>
      <c r="C51" s="3">
        <v>1660</v>
      </c>
      <c r="D51" s="1">
        <v>0.08</v>
      </c>
      <c r="E51" t="s">
        <v>115</v>
      </c>
      <c r="F51" t="s">
        <v>115</v>
      </c>
      <c r="G51" t="s">
        <v>115</v>
      </c>
      <c r="H51" s="3">
        <f t="shared" si="3"/>
        <v>134</v>
      </c>
      <c r="I51" t="str">
        <f t="shared" si="4"/>
        <v>Excellent</v>
      </c>
      <c r="J51" t="str">
        <f t="shared" si="5"/>
        <v>Low</v>
      </c>
      <c r="L51" t="s">
        <v>39</v>
      </c>
    </row>
    <row r="52" spans="1:12" x14ac:dyDescent="0.35">
      <c r="A52" t="s">
        <v>90</v>
      </c>
      <c r="B52" s="3">
        <v>799</v>
      </c>
      <c r="C52" s="3">
        <v>900</v>
      </c>
      <c r="D52" s="1">
        <v>0.11</v>
      </c>
      <c r="E52" t="s">
        <v>115</v>
      </c>
      <c r="F52" t="s">
        <v>115</v>
      </c>
      <c r="G52" t="s">
        <v>115</v>
      </c>
      <c r="H52" s="3">
        <f t="shared" si="3"/>
        <v>101</v>
      </c>
      <c r="I52" t="str">
        <f t="shared" si="4"/>
        <v>Excellent</v>
      </c>
      <c r="J52" t="str">
        <f t="shared" si="5"/>
        <v>Low</v>
      </c>
    </row>
    <row r="53" spans="1:12" x14ac:dyDescent="0.35">
      <c r="A53" t="s">
        <v>95</v>
      </c>
      <c r="B53" s="3">
        <v>105</v>
      </c>
      <c r="C53" s="3">
        <v>200</v>
      </c>
      <c r="D53" s="1">
        <v>0.48</v>
      </c>
      <c r="E53" t="s">
        <v>115</v>
      </c>
      <c r="F53" t="s">
        <v>115</v>
      </c>
      <c r="G53" t="s">
        <v>115</v>
      </c>
      <c r="H53" s="3">
        <f t="shared" si="3"/>
        <v>95</v>
      </c>
      <c r="I53" t="str">
        <f t="shared" si="4"/>
        <v>Excellent</v>
      </c>
      <c r="J53" t="str">
        <f t="shared" si="5"/>
        <v>High</v>
      </c>
      <c r="L53" s="2" t="s">
        <v>144</v>
      </c>
    </row>
    <row r="54" spans="1:12" x14ac:dyDescent="0.35">
      <c r="A54" t="s">
        <v>57</v>
      </c>
      <c r="B54" s="3">
        <v>299</v>
      </c>
      <c r="C54" s="3">
        <v>384</v>
      </c>
      <c r="D54" s="1">
        <v>0.22</v>
      </c>
      <c r="E54" t="s">
        <v>115</v>
      </c>
      <c r="F54" t="s">
        <v>115</v>
      </c>
      <c r="G54" t="s">
        <v>115</v>
      </c>
      <c r="H54" s="3">
        <f t="shared" si="3"/>
        <v>85</v>
      </c>
      <c r="I54" t="str">
        <f t="shared" si="4"/>
        <v>Excellent</v>
      </c>
      <c r="J54" t="str">
        <f t="shared" si="5"/>
        <v>Medium</v>
      </c>
      <c r="L54" t="s">
        <v>23</v>
      </c>
    </row>
    <row r="55" spans="1:12" x14ac:dyDescent="0.35">
      <c r="A55" t="s">
        <v>81</v>
      </c>
      <c r="B55" s="3">
        <v>1732</v>
      </c>
      <c r="C55" s="3">
        <v>1799</v>
      </c>
      <c r="D55" s="1">
        <v>0.04</v>
      </c>
      <c r="E55" t="s">
        <v>115</v>
      </c>
      <c r="F55" t="s">
        <v>115</v>
      </c>
      <c r="G55" t="s">
        <v>115</v>
      </c>
      <c r="H55" s="3">
        <f t="shared" si="3"/>
        <v>67</v>
      </c>
      <c r="I55" t="str">
        <f t="shared" si="4"/>
        <v>Excellent</v>
      </c>
      <c r="J55" t="str">
        <f t="shared" si="5"/>
        <v>Low</v>
      </c>
      <c r="L55" t="s">
        <v>21</v>
      </c>
    </row>
    <row r="56" spans="1:12" x14ac:dyDescent="0.35">
      <c r="A56" t="s">
        <v>107</v>
      </c>
      <c r="B56" s="3">
        <v>198</v>
      </c>
      <c r="C56" s="3">
        <v>260</v>
      </c>
      <c r="D56" s="1">
        <v>0.24</v>
      </c>
      <c r="E56" t="s">
        <v>115</v>
      </c>
      <c r="F56" t="s">
        <v>115</v>
      </c>
      <c r="G56" t="s">
        <v>115</v>
      </c>
      <c r="H56" s="3">
        <f t="shared" si="3"/>
        <v>62</v>
      </c>
      <c r="I56" t="str">
        <f t="shared" si="4"/>
        <v>Excellent</v>
      </c>
      <c r="J56" t="str">
        <f t="shared" si="5"/>
        <v>Medium</v>
      </c>
      <c r="L56" t="s">
        <v>42</v>
      </c>
    </row>
    <row r="57" spans="1:12" x14ac:dyDescent="0.35">
      <c r="A57" t="s">
        <v>110</v>
      </c>
      <c r="B57" s="3">
        <v>1658</v>
      </c>
      <c r="C57" s="3">
        <v>1699</v>
      </c>
      <c r="D57" s="1">
        <v>0.02</v>
      </c>
      <c r="E57" t="s">
        <v>115</v>
      </c>
      <c r="F57" t="s">
        <v>115</v>
      </c>
      <c r="G57" t="s">
        <v>115</v>
      </c>
      <c r="H57" s="3">
        <f t="shared" si="3"/>
        <v>41</v>
      </c>
      <c r="I57" t="str">
        <f t="shared" si="4"/>
        <v>Excellent</v>
      </c>
      <c r="J57" t="str">
        <f t="shared" si="5"/>
        <v>Low</v>
      </c>
      <c r="L57" t="s">
        <v>22</v>
      </c>
    </row>
    <row r="58" spans="1:12" x14ac:dyDescent="0.35">
      <c r="A58" t="s">
        <v>58</v>
      </c>
      <c r="B58" s="3">
        <v>1459</v>
      </c>
      <c r="C58" s="3">
        <v>1499</v>
      </c>
      <c r="D58" s="1">
        <v>0.03</v>
      </c>
      <c r="E58" t="s">
        <v>115</v>
      </c>
      <c r="F58" t="s">
        <v>115</v>
      </c>
      <c r="G58" t="s">
        <v>115</v>
      </c>
      <c r="H58" s="3">
        <f t="shared" si="3"/>
        <v>40</v>
      </c>
      <c r="I58" t="str">
        <f t="shared" si="4"/>
        <v>Excellent</v>
      </c>
      <c r="J58" t="str">
        <f t="shared" si="5"/>
        <v>Low</v>
      </c>
      <c r="L58" t="s">
        <v>41</v>
      </c>
    </row>
    <row r="59" spans="1:12" x14ac:dyDescent="0.35">
      <c r="A59" t="s">
        <v>56</v>
      </c>
      <c r="B59" s="3">
        <v>1660</v>
      </c>
      <c r="C59" s="3">
        <v>1699</v>
      </c>
      <c r="D59" s="1">
        <v>0.02</v>
      </c>
      <c r="E59" t="s">
        <v>115</v>
      </c>
      <c r="F59" t="s">
        <v>115</v>
      </c>
      <c r="G59" t="s">
        <v>115</v>
      </c>
      <c r="H59" s="3">
        <f t="shared" si="3"/>
        <v>39</v>
      </c>
      <c r="I59" t="str">
        <f t="shared" si="4"/>
        <v>Excellent</v>
      </c>
      <c r="J59" t="str">
        <f t="shared" si="5"/>
        <v>Low</v>
      </c>
    </row>
    <row r="60" spans="1:12" x14ac:dyDescent="0.35">
      <c r="A60" t="s">
        <v>49</v>
      </c>
      <c r="B60" s="3">
        <v>2132</v>
      </c>
      <c r="C60" s="3">
        <v>2169</v>
      </c>
      <c r="D60" s="1">
        <v>0.02</v>
      </c>
      <c r="E60" t="s">
        <v>115</v>
      </c>
      <c r="F60" t="s">
        <v>115</v>
      </c>
      <c r="G60" t="s">
        <v>115</v>
      </c>
      <c r="H60" s="3">
        <f t="shared" si="3"/>
        <v>37</v>
      </c>
      <c r="I60" t="str">
        <f t="shared" si="4"/>
        <v>Excellent</v>
      </c>
      <c r="J60" t="str">
        <f t="shared" si="5"/>
        <v>Low</v>
      </c>
      <c r="L60" s="2" t="s">
        <v>145</v>
      </c>
    </row>
    <row r="61" spans="1:12" x14ac:dyDescent="0.35">
      <c r="A61" t="s">
        <v>99</v>
      </c>
      <c r="B61" s="3">
        <v>1462</v>
      </c>
      <c r="C61" s="3">
        <v>1499</v>
      </c>
      <c r="D61" s="1">
        <v>0.02</v>
      </c>
      <c r="E61" t="s">
        <v>115</v>
      </c>
      <c r="F61" t="s">
        <v>115</v>
      </c>
      <c r="G61" t="s">
        <v>115</v>
      </c>
      <c r="H61" s="3">
        <f t="shared" si="3"/>
        <v>37</v>
      </c>
      <c r="I61" t="str">
        <f t="shared" si="4"/>
        <v>Excellent</v>
      </c>
      <c r="J61" t="str">
        <f t="shared" si="5"/>
        <v>Low</v>
      </c>
      <c r="L61" t="s">
        <v>75</v>
      </c>
    </row>
    <row r="62" spans="1:12" x14ac:dyDescent="0.35">
      <c r="A62" t="s">
        <v>86</v>
      </c>
      <c r="B62" s="3">
        <v>1666</v>
      </c>
      <c r="C62" s="3">
        <v>1699</v>
      </c>
      <c r="D62" s="1">
        <v>0.02</v>
      </c>
      <c r="E62" t="s">
        <v>115</v>
      </c>
      <c r="F62" t="s">
        <v>115</v>
      </c>
      <c r="G62" t="s">
        <v>115</v>
      </c>
      <c r="H62" s="3">
        <f t="shared" si="3"/>
        <v>33</v>
      </c>
      <c r="I62" t="str">
        <f t="shared" si="4"/>
        <v>Excellent</v>
      </c>
      <c r="J62" t="str">
        <f t="shared" si="5"/>
        <v>Low</v>
      </c>
      <c r="L62" t="s">
        <v>77</v>
      </c>
    </row>
    <row r="63" spans="1:12" x14ac:dyDescent="0.35">
      <c r="A63" t="s">
        <v>111</v>
      </c>
      <c r="B63" s="3">
        <v>1768</v>
      </c>
      <c r="C63" s="3">
        <v>1799</v>
      </c>
      <c r="D63" s="1">
        <v>0.02</v>
      </c>
      <c r="E63" t="s">
        <v>115</v>
      </c>
      <c r="F63" t="s">
        <v>115</v>
      </c>
      <c r="G63" t="s">
        <v>115</v>
      </c>
      <c r="H63" s="3">
        <f t="shared" si="3"/>
        <v>31</v>
      </c>
      <c r="I63" t="str">
        <f t="shared" si="4"/>
        <v>Excellent</v>
      </c>
      <c r="J63" t="str">
        <f t="shared" si="5"/>
        <v>Low</v>
      </c>
      <c r="L63" t="s">
        <v>70</v>
      </c>
    </row>
    <row r="64" spans="1:12" x14ac:dyDescent="0.35">
      <c r="A64" t="s">
        <v>106</v>
      </c>
      <c r="B64" s="3">
        <v>1875</v>
      </c>
      <c r="C64" s="3">
        <v>1899</v>
      </c>
      <c r="D64" s="1">
        <v>0.01</v>
      </c>
      <c r="E64" t="s">
        <v>115</v>
      </c>
      <c r="F64" t="s">
        <v>115</v>
      </c>
      <c r="G64" t="s">
        <v>115</v>
      </c>
      <c r="H64" s="3">
        <f t="shared" si="3"/>
        <v>24</v>
      </c>
      <c r="I64" t="str">
        <f t="shared" si="4"/>
        <v>Excellent</v>
      </c>
      <c r="J64" t="str">
        <f t="shared" si="5"/>
        <v>Low</v>
      </c>
      <c r="L64" t="s">
        <v>66</v>
      </c>
    </row>
    <row r="65" spans="1:12" x14ac:dyDescent="0.35">
      <c r="A65" t="s">
        <v>23</v>
      </c>
      <c r="B65" s="3">
        <v>2025</v>
      </c>
      <c r="C65" s="3">
        <v>3971</v>
      </c>
      <c r="D65" s="1">
        <v>0.49</v>
      </c>
      <c r="E65">
        <v>-3</v>
      </c>
      <c r="F65">
        <f t="shared" ref="F65:F96" si="6">ABS(E65)</f>
        <v>3</v>
      </c>
      <c r="G65">
        <v>5</v>
      </c>
      <c r="H65" s="3">
        <f t="shared" si="3"/>
        <v>1946</v>
      </c>
      <c r="I65" t="str">
        <f t="shared" si="4"/>
        <v>Excellent</v>
      </c>
      <c r="J65" t="str">
        <f t="shared" si="5"/>
        <v>High</v>
      </c>
      <c r="L65" t="s">
        <v>78</v>
      </c>
    </row>
    <row r="66" spans="1:12" x14ac:dyDescent="0.35">
      <c r="A66" t="s">
        <v>21</v>
      </c>
      <c r="B66" s="3">
        <v>332</v>
      </c>
      <c r="C66" s="3">
        <v>684</v>
      </c>
      <c r="D66" s="1">
        <v>0.51</v>
      </c>
      <c r="E66">
        <v>-2</v>
      </c>
      <c r="F66">
        <f t="shared" si="6"/>
        <v>2</v>
      </c>
      <c r="G66">
        <v>5</v>
      </c>
      <c r="H66" s="3">
        <f t="shared" ref="H66:H97" si="7">C66-B66</f>
        <v>352</v>
      </c>
      <c r="I66" t="str">
        <f t="shared" ref="I66:I97" si="8">IF(G66&lt;3, "Poor", IF(G66&lt;=4.4, "Average", IF(G66&gt;=4.5, "Excellent")))</f>
        <v>Excellent</v>
      </c>
      <c r="J66" t="str">
        <f t="shared" ref="J66:J97" si="9">IF(D66&lt;20%, "Low", IF(D66&lt;=40%, "Medium", "High"))</f>
        <v>High</v>
      </c>
    </row>
    <row r="67" spans="1:12" x14ac:dyDescent="0.35">
      <c r="A67" t="s">
        <v>42</v>
      </c>
      <c r="B67" s="3">
        <v>171</v>
      </c>
      <c r="C67" s="3">
        <v>360</v>
      </c>
      <c r="D67" s="1">
        <v>0.53</v>
      </c>
      <c r="E67">
        <v>-2</v>
      </c>
      <c r="F67">
        <f t="shared" si="6"/>
        <v>2</v>
      </c>
      <c r="G67">
        <v>5</v>
      </c>
      <c r="H67" s="3">
        <f t="shared" si="7"/>
        <v>189</v>
      </c>
      <c r="I67" t="str">
        <f t="shared" si="8"/>
        <v>Excellent</v>
      </c>
      <c r="J67" t="str">
        <f t="shared" si="9"/>
        <v>High</v>
      </c>
    </row>
    <row r="68" spans="1:12" x14ac:dyDescent="0.35">
      <c r="A68" t="s">
        <v>22</v>
      </c>
      <c r="B68" s="3">
        <v>195</v>
      </c>
      <c r="C68" s="3">
        <v>360</v>
      </c>
      <c r="D68" s="1">
        <v>0.46</v>
      </c>
      <c r="E68">
        <v>-2</v>
      </c>
      <c r="F68">
        <f t="shared" si="6"/>
        <v>2</v>
      </c>
      <c r="G68">
        <v>5</v>
      </c>
      <c r="H68" s="3">
        <f t="shared" si="7"/>
        <v>165</v>
      </c>
      <c r="I68" t="str">
        <f t="shared" si="8"/>
        <v>Excellent</v>
      </c>
      <c r="J68" t="str">
        <f t="shared" si="9"/>
        <v>High</v>
      </c>
    </row>
    <row r="69" spans="1:12" x14ac:dyDescent="0.35">
      <c r="A69" t="s">
        <v>41</v>
      </c>
      <c r="B69" s="3">
        <v>1620</v>
      </c>
      <c r="C69" s="3">
        <v>2690</v>
      </c>
      <c r="D69" s="1">
        <v>0.4</v>
      </c>
      <c r="E69">
        <v>-1</v>
      </c>
      <c r="F69">
        <f t="shared" si="6"/>
        <v>1</v>
      </c>
      <c r="G69">
        <v>5</v>
      </c>
      <c r="H69" s="3">
        <f t="shared" si="7"/>
        <v>1070</v>
      </c>
      <c r="I69" t="str">
        <f t="shared" si="8"/>
        <v>Excellent</v>
      </c>
      <c r="J69" t="str">
        <f t="shared" si="9"/>
        <v>Medium</v>
      </c>
    </row>
    <row r="70" spans="1:12" x14ac:dyDescent="0.35">
      <c r="A70" t="s">
        <v>84</v>
      </c>
      <c r="B70" s="3">
        <v>979</v>
      </c>
      <c r="C70" s="3">
        <v>1920</v>
      </c>
      <c r="D70" s="1">
        <v>0.49</v>
      </c>
      <c r="E70">
        <v>-1</v>
      </c>
      <c r="F70">
        <f t="shared" si="6"/>
        <v>1</v>
      </c>
      <c r="G70">
        <v>5</v>
      </c>
      <c r="H70" s="3">
        <f t="shared" si="7"/>
        <v>941</v>
      </c>
      <c r="I70" t="str">
        <f t="shared" si="8"/>
        <v>Excellent</v>
      </c>
      <c r="J70" t="str">
        <f t="shared" si="9"/>
        <v>High</v>
      </c>
    </row>
    <row r="71" spans="1:12" x14ac:dyDescent="0.35">
      <c r="A71" t="s">
        <v>18</v>
      </c>
      <c r="B71" s="3">
        <v>552</v>
      </c>
      <c r="C71" s="3">
        <v>1035</v>
      </c>
      <c r="D71" s="1">
        <v>0.47</v>
      </c>
      <c r="E71">
        <v>-12</v>
      </c>
      <c r="F71">
        <f t="shared" si="6"/>
        <v>12</v>
      </c>
      <c r="G71">
        <v>4.8</v>
      </c>
      <c r="H71" s="3">
        <f t="shared" si="7"/>
        <v>483</v>
      </c>
      <c r="I71" t="str">
        <f t="shared" si="8"/>
        <v>Excellent</v>
      </c>
      <c r="J71" t="str">
        <f t="shared" si="9"/>
        <v>High</v>
      </c>
    </row>
    <row r="72" spans="1:12" x14ac:dyDescent="0.35">
      <c r="A72" t="s">
        <v>14</v>
      </c>
      <c r="B72" s="3">
        <v>1274</v>
      </c>
      <c r="C72" s="3">
        <v>2800</v>
      </c>
      <c r="D72" s="1">
        <v>0.55000000000000004</v>
      </c>
      <c r="E72">
        <v>-5</v>
      </c>
      <c r="F72">
        <f t="shared" si="6"/>
        <v>5</v>
      </c>
      <c r="G72">
        <v>4.8</v>
      </c>
      <c r="H72" s="3">
        <f t="shared" si="7"/>
        <v>1526</v>
      </c>
      <c r="I72" t="str">
        <f t="shared" si="8"/>
        <v>Excellent</v>
      </c>
      <c r="J72" t="str">
        <f t="shared" si="9"/>
        <v>High</v>
      </c>
    </row>
    <row r="73" spans="1:12" x14ac:dyDescent="0.35">
      <c r="A73" t="s">
        <v>10</v>
      </c>
      <c r="B73" s="3">
        <v>1740</v>
      </c>
      <c r="C73" s="3">
        <v>2356</v>
      </c>
      <c r="D73" s="1">
        <v>0.26</v>
      </c>
      <c r="E73">
        <v>-5</v>
      </c>
      <c r="F73">
        <f t="shared" si="6"/>
        <v>5</v>
      </c>
      <c r="G73">
        <v>4.8</v>
      </c>
      <c r="H73" s="3">
        <f t="shared" si="7"/>
        <v>616</v>
      </c>
      <c r="I73" t="str">
        <f t="shared" si="8"/>
        <v>Excellent</v>
      </c>
      <c r="J73" t="str">
        <f t="shared" si="9"/>
        <v>Medium</v>
      </c>
    </row>
    <row r="74" spans="1:12" x14ac:dyDescent="0.35">
      <c r="A74" t="s">
        <v>17</v>
      </c>
      <c r="B74" s="3">
        <v>990</v>
      </c>
      <c r="C74" s="3">
        <v>1500</v>
      </c>
      <c r="D74" s="1">
        <v>0.34</v>
      </c>
      <c r="E74">
        <v>-39</v>
      </c>
      <c r="F74">
        <f t="shared" si="6"/>
        <v>39</v>
      </c>
      <c r="G74">
        <v>4.7</v>
      </c>
      <c r="H74" s="3">
        <f t="shared" si="7"/>
        <v>510</v>
      </c>
      <c r="I74" t="str">
        <f t="shared" si="8"/>
        <v>Excellent</v>
      </c>
      <c r="J74" t="str">
        <f t="shared" si="9"/>
        <v>Medium</v>
      </c>
    </row>
    <row r="75" spans="1:12" x14ac:dyDescent="0.35">
      <c r="A75" t="s">
        <v>39</v>
      </c>
      <c r="B75" s="3">
        <v>1940</v>
      </c>
      <c r="C75" s="3">
        <v>2650</v>
      </c>
      <c r="D75" s="1">
        <v>0.27</v>
      </c>
      <c r="E75">
        <v>-20</v>
      </c>
      <c r="F75">
        <f t="shared" si="6"/>
        <v>20</v>
      </c>
      <c r="G75">
        <v>4.7</v>
      </c>
      <c r="H75" s="3">
        <f t="shared" si="7"/>
        <v>710</v>
      </c>
      <c r="I75" t="str">
        <f t="shared" si="8"/>
        <v>Excellent</v>
      </c>
      <c r="J75" t="str">
        <f t="shared" si="9"/>
        <v>Medium</v>
      </c>
    </row>
    <row r="76" spans="1:12" x14ac:dyDescent="0.35">
      <c r="A76" t="s">
        <v>37</v>
      </c>
      <c r="B76" s="3">
        <v>980</v>
      </c>
      <c r="C76" s="3">
        <v>1490</v>
      </c>
      <c r="D76" s="1">
        <v>0.34</v>
      </c>
      <c r="E76">
        <v>-12</v>
      </c>
      <c r="F76">
        <f t="shared" si="6"/>
        <v>12</v>
      </c>
      <c r="G76">
        <v>4.7</v>
      </c>
      <c r="H76" s="3">
        <f t="shared" si="7"/>
        <v>510</v>
      </c>
      <c r="I76" t="str">
        <f t="shared" si="8"/>
        <v>Excellent</v>
      </c>
      <c r="J76" t="str">
        <f t="shared" si="9"/>
        <v>Medium</v>
      </c>
    </row>
    <row r="77" spans="1:12" x14ac:dyDescent="0.35">
      <c r="A77" t="s">
        <v>9</v>
      </c>
      <c r="B77" s="3">
        <v>1580</v>
      </c>
      <c r="C77" s="3">
        <v>2499</v>
      </c>
      <c r="D77" s="1">
        <v>0.37</v>
      </c>
      <c r="E77">
        <v>-7</v>
      </c>
      <c r="F77">
        <f t="shared" si="6"/>
        <v>7</v>
      </c>
      <c r="G77">
        <v>4.7</v>
      </c>
      <c r="H77" s="3">
        <f t="shared" si="7"/>
        <v>919</v>
      </c>
      <c r="I77" t="str">
        <f t="shared" si="8"/>
        <v>Excellent</v>
      </c>
      <c r="J77" t="str">
        <f t="shared" si="9"/>
        <v>Medium</v>
      </c>
    </row>
    <row r="78" spans="1:12" x14ac:dyDescent="0.35">
      <c r="A78" t="s">
        <v>12</v>
      </c>
      <c r="B78" s="3">
        <v>2319</v>
      </c>
      <c r="C78" s="3">
        <v>3032</v>
      </c>
      <c r="D78" s="1">
        <v>0.24</v>
      </c>
      <c r="E78">
        <v>-55</v>
      </c>
      <c r="F78">
        <f t="shared" si="6"/>
        <v>55</v>
      </c>
      <c r="G78">
        <v>4.5999999999999996</v>
      </c>
      <c r="H78" s="3">
        <f t="shared" si="7"/>
        <v>713</v>
      </c>
      <c r="I78" t="str">
        <f t="shared" si="8"/>
        <v>Excellent</v>
      </c>
      <c r="J78" t="str">
        <f t="shared" si="9"/>
        <v>Medium</v>
      </c>
    </row>
    <row r="79" spans="1:12" x14ac:dyDescent="0.35">
      <c r="A79" t="s">
        <v>31</v>
      </c>
      <c r="B79" s="3">
        <v>420</v>
      </c>
      <c r="C79" s="3">
        <v>647</v>
      </c>
      <c r="D79" s="1">
        <v>0.35</v>
      </c>
      <c r="E79">
        <v>-49</v>
      </c>
      <c r="F79">
        <f t="shared" si="6"/>
        <v>49</v>
      </c>
      <c r="G79">
        <v>4.5999999999999996</v>
      </c>
      <c r="H79" s="3">
        <f t="shared" si="7"/>
        <v>227</v>
      </c>
      <c r="I79" t="str">
        <f t="shared" si="8"/>
        <v>Excellent</v>
      </c>
      <c r="J79" t="str">
        <f t="shared" si="9"/>
        <v>Medium</v>
      </c>
    </row>
    <row r="80" spans="1:12" x14ac:dyDescent="0.35">
      <c r="A80" t="s">
        <v>25</v>
      </c>
      <c r="B80" s="3">
        <v>998</v>
      </c>
      <c r="C80" s="3">
        <v>1966</v>
      </c>
      <c r="D80" s="1">
        <v>0.49</v>
      </c>
      <c r="E80">
        <v>-44</v>
      </c>
      <c r="F80">
        <f t="shared" si="6"/>
        <v>44</v>
      </c>
      <c r="G80">
        <v>4.5999999999999996</v>
      </c>
      <c r="H80" s="3">
        <f t="shared" si="7"/>
        <v>968</v>
      </c>
      <c r="I80" t="str">
        <f t="shared" si="8"/>
        <v>Excellent</v>
      </c>
      <c r="J80" t="str">
        <f t="shared" si="9"/>
        <v>High</v>
      </c>
    </row>
    <row r="81" spans="1:10" x14ac:dyDescent="0.35">
      <c r="A81" t="s">
        <v>8</v>
      </c>
      <c r="B81" s="3">
        <v>2199</v>
      </c>
      <c r="C81" s="3">
        <v>2923</v>
      </c>
      <c r="D81" s="1">
        <v>0.25</v>
      </c>
      <c r="E81">
        <v>-24</v>
      </c>
      <c r="F81">
        <f t="shared" si="6"/>
        <v>24</v>
      </c>
      <c r="G81">
        <v>4.5999999999999996</v>
      </c>
      <c r="H81" s="3">
        <f t="shared" si="7"/>
        <v>724</v>
      </c>
      <c r="I81" t="str">
        <f t="shared" si="8"/>
        <v>Excellent</v>
      </c>
      <c r="J81" t="str">
        <f t="shared" si="9"/>
        <v>Medium</v>
      </c>
    </row>
    <row r="82" spans="1:10" x14ac:dyDescent="0.35">
      <c r="A82" t="s">
        <v>24</v>
      </c>
      <c r="B82" s="3">
        <v>2999</v>
      </c>
      <c r="C82" s="3">
        <v>3699</v>
      </c>
      <c r="D82" s="1">
        <v>0.19</v>
      </c>
      <c r="E82">
        <v>-5</v>
      </c>
      <c r="F82">
        <f t="shared" si="6"/>
        <v>5</v>
      </c>
      <c r="G82">
        <v>4.5999999999999996</v>
      </c>
      <c r="H82" s="3">
        <f t="shared" si="7"/>
        <v>700</v>
      </c>
      <c r="I82" t="str">
        <f t="shared" si="8"/>
        <v>Excellent</v>
      </c>
      <c r="J82" t="str">
        <f t="shared" si="9"/>
        <v>Low</v>
      </c>
    </row>
    <row r="83" spans="1:10" x14ac:dyDescent="0.35">
      <c r="A83" t="s">
        <v>40</v>
      </c>
      <c r="B83" s="3">
        <v>1980</v>
      </c>
      <c r="C83" s="3">
        <v>2699</v>
      </c>
      <c r="D83" s="1">
        <v>0.27</v>
      </c>
      <c r="E83">
        <v>-32</v>
      </c>
      <c r="F83">
        <f t="shared" si="6"/>
        <v>32</v>
      </c>
      <c r="G83">
        <v>4.5</v>
      </c>
      <c r="H83" s="3">
        <f t="shared" si="7"/>
        <v>719</v>
      </c>
      <c r="I83" t="str">
        <f t="shared" si="8"/>
        <v>Excellent</v>
      </c>
      <c r="J83" t="str">
        <f t="shared" si="9"/>
        <v>Medium</v>
      </c>
    </row>
    <row r="84" spans="1:10" x14ac:dyDescent="0.35">
      <c r="A84" t="s">
        <v>19</v>
      </c>
      <c r="B84" s="3">
        <v>501</v>
      </c>
      <c r="C84" s="3">
        <v>860</v>
      </c>
      <c r="D84" s="1">
        <v>0.42</v>
      </c>
      <c r="E84">
        <v>-6</v>
      </c>
      <c r="F84">
        <f t="shared" si="6"/>
        <v>6</v>
      </c>
      <c r="G84">
        <v>4.5</v>
      </c>
      <c r="H84" s="3">
        <f t="shared" si="7"/>
        <v>359</v>
      </c>
      <c r="I84" t="str">
        <f t="shared" si="8"/>
        <v>Excellent</v>
      </c>
      <c r="J84" t="str">
        <f t="shared" si="9"/>
        <v>High</v>
      </c>
    </row>
    <row r="85" spans="1:10" x14ac:dyDescent="0.35">
      <c r="A85" t="s">
        <v>44</v>
      </c>
      <c r="B85" s="3" t="s">
        <v>116</v>
      </c>
      <c r="C85" s="3" t="s">
        <v>117</v>
      </c>
      <c r="D85" s="1">
        <v>0.38</v>
      </c>
      <c r="E85">
        <v>-2</v>
      </c>
      <c r="F85">
        <f t="shared" si="6"/>
        <v>2</v>
      </c>
      <c r="G85">
        <v>4.5</v>
      </c>
      <c r="H85" s="3" t="e">
        <f t="shared" si="7"/>
        <v>#VALUE!</v>
      </c>
      <c r="I85" t="str">
        <f t="shared" si="8"/>
        <v>Excellent</v>
      </c>
      <c r="J85" t="str">
        <f t="shared" si="9"/>
        <v>Medium</v>
      </c>
    </row>
    <row r="86" spans="1:10" x14ac:dyDescent="0.35">
      <c r="A86" t="s">
        <v>6</v>
      </c>
      <c r="B86" s="3">
        <v>950</v>
      </c>
      <c r="C86" s="3">
        <v>1525</v>
      </c>
      <c r="D86" s="1">
        <v>0.38</v>
      </c>
      <c r="E86">
        <v>-2</v>
      </c>
      <c r="F86">
        <f t="shared" si="6"/>
        <v>2</v>
      </c>
      <c r="G86">
        <v>4.5</v>
      </c>
      <c r="H86" s="3">
        <f t="shared" si="7"/>
        <v>575</v>
      </c>
      <c r="I86" t="str">
        <f t="shared" si="8"/>
        <v>Excellent</v>
      </c>
      <c r="J86" t="str">
        <f t="shared" si="9"/>
        <v>Medium</v>
      </c>
    </row>
    <row r="87" spans="1:10" x14ac:dyDescent="0.35">
      <c r="A87" t="s">
        <v>29</v>
      </c>
      <c r="B87" s="3">
        <v>1650</v>
      </c>
      <c r="C87" s="3">
        <v>2150</v>
      </c>
      <c r="D87" s="1">
        <v>0.23</v>
      </c>
      <c r="E87">
        <v>-14</v>
      </c>
      <c r="F87">
        <f t="shared" si="6"/>
        <v>14</v>
      </c>
      <c r="G87">
        <v>4.4000000000000004</v>
      </c>
      <c r="H87" s="3">
        <f t="shared" si="7"/>
        <v>500</v>
      </c>
      <c r="I87" t="str">
        <f t="shared" si="8"/>
        <v>Average</v>
      </c>
      <c r="J87" t="str">
        <f t="shared" si="9"/>
        <v>Medium</v>
      </c>
    </row>
    <row r="88" spans="1:10" x14ac:dyDescent="0.35">
      <c r="A88" t="s">
        <v>43</v>
      </c>
      <c r="B88" s="3">
        <v>389</v>
      </c>
      <c r="C88" s="3">
        <v>656</v>
      </c>
      <c r="D88" s="1">
        <v>0.41</v>
      </c>
      <c r="E88">
        <v>-36</v>
      </c>
      <c r="F88">
        <f t="shared" si="6"/>
        <v>36</v>
      </c>
      <c r="G88">
        <v>4.3</v>
      </c>
      <c r="H88" s="3">
        <f t="shared" si="7"/>
        <v>267</v>
      </c>
      <c r="I88" t="str">
        <f t="shared" si="8"/>
        <v>Average</v>
      </c>
      <c r="J88" t="str">
        <f t="shared" si="9"/>
        <v>High</v>
      </c>
    </row>
    <row r="89" spans="1:10" x14ac:dyDescent="0.35">
      <c r="A89" t="s">
        <v>38</v>
      </c>
      <c r="B89" s="3">
        <v>1820</v>
      </c>
      <c r="C89" s="3">
        <v>3490</v>
      </c>
      <c r="D89" s="1">
        <v>0.48</v>
      </c>
      <c r="E89">
        <v>-9</v>
      </c>
      <c r="F89">
        <f t="shared" si="6"/>
        <v>9</v>
      </c>
      <c r="G89">
        <v>4.3</v>
      </c>
      <c r="H89" s="3">
        <f t="shared" si="7"/>
        <v>1670</v>
      </c>
      <c r="I89" t="str">
        <f t="shared" si="8"/>
        <v>Average</v>
      </c>
      <c r="J89" t="str">
        <f t="shared" si="9"/>
        <v>High</v>
      </c>
    </row>
    <row r="90" spans="1:10" x14ac:dyDescent="0.35">
      <c r="A90" t="s">
        <v>36</v>
      </c>
      <c r="B90" s="3">
        <v>185</v>
      </c>
      <c r="C90" s="3">
        <v>382</v>
      </c>
      <c r="D90" s="1">
        <v>0.52</v>
      </c>
      <c r="E90">
        <v>-9</v>
      </c>
      <c r="F90">
        <f t="shared" si="6"/>
        <v>9</v>
      </c>
      <c r="G90">
        <v>4.3</v>
      </c>
      <c r="H90" s="3">
        <f t="shared" si="7"/>
        <v>197</v>
      </c>
      <c r="I90" t="str">
        <f t="shared" si="8"/>
        <v>Average</v>
      </c>
      <c r="J90" t="str">
        <f t="shared" si="9"/>
        <v>High</v>
      </c>
    </row>
    <row r="91" spans="1:10" x14ac:dyDescent="0.35">
      <c r="A91" t="s">
        <v>30</v>
      </c>
      <c r="B91" s="3">
        <v>2048</v>
      </c>
      <c r="C91" s="3">
        <v>4500</v>
      </c>
      <c r="D91" s="1">
        <v>0.54</v>
      </c>
      <c r="E91">
        <v>-7</v>
      </c>
      <c r="F91">
        <f t="shared" si="6"/>
        <v>7</v>
      </c>
      <c r="G91">
        <v>4.3</v>
      </c>
      <c r="H91" s="3">
        <f t="shared" si="7"/>
        <v>2452</v>
      </c>
      <c r="I91" t="str">
        <f t="shared" si="8"/>
        <v>Average</v>
      </c>
      <c r="J91" t="str">
        <f t="shared" si="9"/>
        <v>High</v>
      </c>
    </row>
    <row r="92" spans="1:10" x14ac:dyDescent="0.35">
      <c r="A92" t="s">
        <v>20</v>
      </c>
      <c r="B92" s="3">
        <v>1680</v>
      </c>
      <c r="C92" s="3">
        <v>2499</v>
      </c>
      <c r="D92" s="1">
        <v>0.33</v>
      </c>
      <c r="E92">
        <v>-9</v>
      </c>
      <c r="F92">
        <f t="shared" si="6"/>
        <v>9</v>
      </c>
      <c r="G92">
        <v>4.2</v>
      </c>
      <c r="H92" s="3">
        <f t="shared" si="7"/>
        <v>819</v>
      </c>
      <c r="I92" t="str">
        <f t="shared" si="8"/>
        <v>Average</v>
      </c>
      <c r="J92" t="str">
        <f t="shared" si="9"/>
        <v>Medium</v>
      </c>
    </row>
    <row r="93" spans="1:10" x14ac:dyDescent="0.35">
      <c r="A93" t="s">
        <v>34</v>
      </c>
      <c r="B93" s="3">
        <v>1758</v>
      </c>
      <c r="C93" s="3">
        <v>2499</v>
      </c>
      <c r="D93" s="1">
        <v>0.3</v>
      </c>
      <c r="E93">
        <v>-20</v>
      </c>
      <c r="F93">
        <f t="shared" si="6"/>
        <v>20</v>
      </c>
      <c r="G93">
        <v>4.0999999999999996</v>
      </c>
      <c r="H93" s="3">
        <f t="shared" si="7"/>
        <v>741</v>
      </c>
      <c r="I93" t="str">
        <f t="shared" si="8"/>
        <v>Average</v>
      </c>
      <c r="J93" t="str">
        <f t="shared" si="9"/>
        <v>Medium</v>
      </c>
    </row>
    <row r="94" spans="1:10" x14ac:dyDescent="0.35">
      <c r="A94" t="s">
        <v>7</v>
      </c>
      <c r="B94" s="3">
        <v>527</v>
      </c>
      <c r="C94" s="3">
        <v>999</v>
      </c>
      <c r="D94" s="1">
        <v>0.47</v>
      </c>
      <c r="E94">
        <v>-14</v>
      </c>
      <c r="F94">
        <f t="shared" si="6"/>
        <v>14</v>
      </c>
      <c r="G94">
        <v>4.0999999999999996</v>
      </c>
      <c r="H94" s="3">
        <f t="shared" si="7"/>
        <v>472</v>
      </c>
      <c r="I94" t="str">
        <f t="shared" si="8"/>
        <v>Average</v>
      </c>
      <c r="J94" t="str">
        <f t="shared" si="9"/>
        <v>High</v>
      </c>
    </row>
    <row r="95" spans="1:10" x14ac:dyDescent="0.35">
      <c r="A95" t="s">
        <v>16</v>
      </c>
      <c r="B95" s="3">
        <v>799</v>
      </c>
      <c r="C95" s="3">
        <v>999</v>
      </c>
      <c r="D95" s="1">
        <v>0.2</v>
      </c>
      <c r="E95">
        <v>-12</v>
      </c>
      <c r="F95">
        <f t="shared" si="6"/>
        <v>12</v>
      </c>
      <c r="G95">
        <v>4.0999999999999996</v>
      </c>
      <c r="H95" s="3">
        <f t="shared" si="7"/>
        <v>200</v>
      </c>
      <c r="I95" t="str">
        <f t="shared" si="8"/>
        <v>Average</v>
      </c>
      <c r="J95" t="str">
        <f t="shared" si="9"/>
        <v>Medium</v>
      </c>
    </row>
    <row r="96" spans="1:10" x14ac:dyDescent="0.35">
      <c r="A96" t="s">
        <v>11</v>
      </c>
      <c r="B96" s="3">
        <v>2999</v>
      </c>
      <c r="C96" s="3">
        <v>3290</v>
      </c>
      <c r="D96" s="1">
        <v>0.09</v>
      </c>
      <c r="E96">
        <v>-15</v>
      </c>
      <c r="F96">
        <f t="shared" si="6"/>
        <v>15</v>
      </c>
      <c r="G96">
        <v>4</v>
      </c>
      <c r="H96" s="3">
        <f t="shared" si="7"/>
        <v>291</v>
      </c>
      <c r="I96" t="str">
        <f t="shared" si="8"/>
        <v>Average</v>
      </c>
      <c r="J96" t="str">
        <f t="shared" si="9"/>
        <v>Low</v>
      </c>
    </row>
    <row r="97" spans="1:19" x14ac:dyDescent="0.35">
      <c r="A97" t="s">
        <v>28</v>
      </c>
      <c r="B97" s="3">
        <v>880</v>
      </c>
      <c r="C97" s="3">
        <v>1350</v>
      </c>
      <c r="D97" s="1">
        <v>0.35</v>
      </c>
      <c r="E97">
        <v>-6</v>
      </c>
      <c r="F97">
        <f t="shared" ref="F97:F116" si="10">ABS(E97)</f>
        <v>6</v>
      </c>
      <c r="G97">
        <v>4</v>
      </c>
      <c r="H97" s="3">
        <f t="shared" si="7"/>
        <v>470</v>
      </c>
      <c r="I97" t="str">
        <f t="shared" si="8"/>
        <v>Average</v>
      </c>
      <c r="J97" t="str">
        <f t="shared" si="9"/>
        <v>Medium</v>
      </c>
    </row>
    <row r="98" spans="1:19" x14ac:dyDescent="0.35">
      <c r="A98" t="s">
        <v>13</v>
      </c>
      <c r="B98" s="3">
        <v>988</v>
      </c>
      <c r="C98" s="3">
        <v>1580</v>
      </c>
      <c r="D98" s="1">
        <v>0.37</v>
      </c>
      <c r="E98">
        <v>-2</v>
      </c>
      <c r="F98">
        <f t="shared" si="10"/>
        <v>2</v>
      </c>
      <c r="G98">
        <v>4</v>
      </c>
      <c r="H98" s="3">
        <f t="shared" ref="H98:H116" si="11">C98-B98</f>
        <v>592</v>
      </c>
      <c r="I98" t="str">
        <f t="shared" ref="I98:I116" si="12">IF(G98&lt;3, "Poor", IF(G98&lt;=4.4, "Average", IF(G98&gt;=4.5, "Excellent")))</f>
        <v>Average</v>
      </c>
      <c r="J98" t="str">
        <f t="shared" ref="J98:J116" si="13">IF(D98&lt;20%, "Low", IF(D98&lt;=40%, "Medium", "High"))</f>
        <v>Medium</v>
      </c>
    </row>
    <row r="99" spans="1:19" x14ac:dyDescent="0.35">
      <c r="A99" t="s">
        <v>33</v>
      </c>
      <c r="B99" s="3">
        <v>1350</v>
      </c>
      <c r="C99" s="3">
        <v>1990</v>
      </c>
      <c r="D99" s="1">
        <v>0.32</v>
      </c>
      <c r="E99">
        <v>-13</v>
      </c>
      <c r="F99">
        <f t="shared" si="10"/>
        <v>13</v>
      </c>
      <c r="G99">
        <v>3.8</v>
      </c>
      <c r="H99" s="3">
        <f t="shared" si="11"/>
        <v>640</v>
      </c>
      <c r="I99" t="str">
        <f t="shared" si="12"/>
        <v>Average</v>
      </c>
      <c r="J99" t="str">
        <f t="shared" si="13"/>
        <v>Medium</v>
      </c>
    </row>
    <row r="100" spans="1:19" x14ac:dyDescent="0.35">
      <c r="A100" t="s">
        <v>32</v>
      </c>
      <c r="B100" s="3">
        <v>2880</v>
      </c>
      <c r="C100" s="3">
        <v>3520</v>
      </c>
      <c r="D100" s="1">
        <v>0.18</v>
      </c>
      <c r="E100">
        <v>-12</v>
      </c>
      <c r="F100">
        <f t="shared" si="10"/>
        <v>12</v>
      </c>
      <c r="G100">
        <v>3.8</v>
      </c>
      <c r="H100" s="3">
        <f t="shared" si="11"/>
        <v>640</v>
      </c>
      <c r="I100" t="str">
        <f t="shared" si="12"/>
        <v>Average</v>
      </c>
      <c r="J100" t="str">
        <f t="shared" si="13"/>
        <v>Low</v>
      </c>
    </row>
    <row r="101" spans="1:19" x14ac:dyDescent="0.35">
      <c r="A101" t="s">
        <v>15</v>
      </c>
      <c r="B101" s="3">
        <v>1600</v>
      </c>
      <c r="C101" s="3">
        <v>2929</v>
      </c>
      <c r="D101" s="1">
        <v>0.45</v>
      </c>
      <c r="E101">
        <v>-5</v>
      </c>
      <c r="F101">
        <f t="shared" si="10"/>
        <v>5</v>
      </c>
      <c r="G101">
        <v>3.8</v>
      </c>
      <c r="H101" s="3">
        <f t="shared" si="11"/>
        <v>1329</v>
      </c>
      <c r="I101" t="str">
        <f t="shared" si="12"/>
        <v>Average</v>
      </c>
      <c r="J101" t="str">
        <f t="shared" si="13"/>
        <v>High</v>
      </c>
    </row>
    <row r="102" spans="1:19" x14ac:dyDescent="0.35">
      <c r="A102" t="s">
        <v>26</v>
      </c>
      <c r="B102" s="3">
        <v>38</v>
      </c>
      <c r="C102" s="3">
        <v>80</v>
      </c>
      <c r="D102" s="1">
        <v>0.53</v>
      </c>
      <c r="E102">
        <v>-13</v>
      </c>
      <c r="F102">
        <f t="shared" si="10"/>
        <v>13</v>
      </c>
      <c r="G102">
        <v>3.3</v>
      </c>
      <c r="H102" s="3">
        <f t="shared" si="11"/>
        <v>42</v>
      </c>
      <c r="I102" t="str">
        <f t="shared" si="12"/>
        <v>Average</v>
      </c>
      <c r="J102" t="str">
        <f t="shared" si="13"/>
        <v>High</v>
      </c>
    </row>
    <row r="103" spans="1:19" x14ac:dyDescent="0.35">
      <c r="A103" t="s">
        <v>65</v>
      </c>
      <c r="B103" s="3">
        <v>458</v>
      </c>
      <c r="C103" s="3">
        <v>986</v>
      </c>
      <c r="D103" s="1">
        <v>0.54</v>
      </c>
      <c r="E103">
        <v>-10</v>
      </c>
      <c r="F103">
        <f t="shared" si="10"/>
        <v>10</v>
      </c>
      <c r="G103">
        <v>3</v>
      </c>
      <c r="H103" s="3">
        <f t="shared" si="11"/>
        <v>528</v>
      </c>
      <c r="I103" t="str">
        <f t="shared" si="12"/>
        <v>Average</v>
      </c>
      <c r="J103" t="str">
        <f t="shared" si="13"/>
        <v>High</v>
      </c>
    </row>
    <row r="104" spans="1:19" x14ac:dyDescent="0.35">
      <c r="A104" t="s">
        <v>72</v>
      </c>
      <c r="B104" s="3">
        <v>3750</v>
      </c>
      <c r="C104" s="3">
        <v>6143</v>
      </c>
      <c r="D104" s="1">
        <v>0.39</v>
      </c>
      <c r="E104">
        <v>-5</v>
      </c>
      <c r="F104">
        <f t="shared" si="10"/>
        <v>5</v>
      </c>
      <c r="G104">
        <v>3</v>
      </c>
      <c r="H104" s="3">
        <f t="shared" si="11"/>
        <v>2393</v>
      </c>
      <c r="I104" t="str">
        <f t="shared" si="12"/>
        <v>Average</v>
      </c>
      <c r="J104" t="str">
        <f t="shared" si="13"/>
        <v>Medium</v>
      </c>
    </row>
    <row r="105" spans="1:19" x14ac:dyDescent="0.35">
      <c r="A105" t="s">
        <v>74</v>
      </c>
      <c r="B105" s="3">
        <v>2300</v>
      </c>
      <c r="C105" s="3">
        <v>3240</v>
      </c>
      <c r="D105" s="1">
        <v>0.28999999999999998</v>
      </c>
      <c r="E105">
        <v>-5</v>
      </c>
      <c r="F105">
        <f t="shared" si="10"/>
        <v>5</v>
      </c>
      <c r="G105">
        <v>3</v>
      </c>
      <c r="H105" s="3">
        <f t="shared" si="11"/>
        <v>940</v>
      </c>
      <c r="I105" t="str">
        <f t="shared" si="12"/>
        <v>Average</v>
      </c>
      <c r="J105" t="str">
        <f t="shared" si="13"/>
        <v>Medium</v>
      </c>
    </row>
    <row r="106" spans="1:19" x14ac:dyDescent="0.35">
      <c r="A106" t="s">
        <v>76</v>
      </c>
      <c r="B106" s="3">
        <v>509</v>
      </c>
      <c r="C106" s="3">
        <v>899</v>
      </c>
      <c r="D106" s="1">
        <v>0.43</v>
      </c>
      <c r="E106">
        <v>-5</v>
      </c>
      <c r="F106">
        <f t="shared" si="10"/>
        <v>5</v>
      </c>
      <c r="G106">
        <v>3</v>
      </c>
      <c r="H106" s="3">
        <f t="shared" si="11"/>
        <v>390</v>
      </c>
      <c r="I106" t="str">
        <f t="shared" si="12"/>
        <v>Average</v>
      </c>
      <c r="J106" t="str">
        <f t="shared" si="13"/>
        <v>High</v>
      </c>
    </row>
    <row r="107" spans="1:19" x14ac:dyDescent="0.35">
      <c r="A107" t="s">
        <v>69</v>
      </c>
      <c r="B107" s="3">
        <v>1220</v>
      </c>
      <c r="C107" s="3">
        <v>1555</v>
      </c>
      <c r="D107" s="1">
        <v>0.22</v>
      </c>
      <c r="E107">
        <v>-16</v>
      </c>
      <c r="F107">
        <f t="shared" si="10"/>
        <v>16</v>
      </c>
      <c r="G107">
        <v>2.9</v>
      </c>
      <c r="H107" s="3">
        <f t="shared" si="11"/>
        <v>335</v>
      </c>
      <c r="I107" t="str">
        <f t="shared" si="12"/>
        <v>Poor</v>
      </c>
      <c r="J107" t="str">
        <f t="shared" si="13"/>
        <v>Medium</v>
      </c>
    </row>
    <row r="108" spans="1:19" x14ac:dyDescent="0.35">
      <c r="A108" t="s">
        <v>67</v>
      </c>
      <c r="B108" s="3">
        <v>445</v>
      </c>
      <c r="C108" s="3">
        <v>873</v>
      </c>
      <c r="D108" s="1">
        <v>0.49</v>
      </c>
      <c r="E108">
        <v>-69</v>
      </c>
      <c r="F108">
        <f t="shared" si="10"/>
        <v>69</v>
      </c>
      <c r="G108">
        <v>2.8</v>
      </c>
      <c r="H108" s="3">
        <f t="shared" si="11"/>
        <v>428</v>
      </c>
      <c r="I108" t="str">
        <f t="shared" si="12"/>
        <v>Poor</v>
      </c>
      <c r="J108" t="str">
        <f t="shared" si="13"/>
        <v>High</v>
      </c>
    </row>
    <row r="109" spans="1:19" x14ac:dyDescent="0.35">
      <c r="A109" t="s">
        <v>68</v>
      </c>
      <c r="B109" s="3">
        <v>325</v>
      </c>
      <c r="C109" s="3">
        <v>680</v>
      </c>
      <c r="D109" s="1">
        <v>0.52</v>
      </c>
      <c r="E109">
        <v>-15</v>
      </c>
      <c r="F109">
        <f t="shared" si="10"/>
        <v>15</v>
      </c>
      <c r="G109">
        <v>2.7</v>
      </c>
      <c r="H109" s="3">
        <f t="shared" si="11"/>
        <v>355</v>
      </c>
      <c r="I109" t="str">
        <f t="shared" si="12"/>
        <v>Poor</v>
      </c>
      <c r="J109" t="str">
        <f t="shared" si="13"/>
        <v>High</v>
      </c>
    </row>
    <row r="110" spans="1:19" x14ac:dyDescent="0.35">
      <c r="A110" t="s">
        <v>73</v>
      </c>
      <c r="B110" s="3">
        <v>382</v>
      </c>
      <c r="C110" s="3">
        <v>700</v>
      </c>
      <c r="D110" s="1">
        <v>0.45</v>
      </c>
      <c r="E110">
        <v>-17</v>
      </c>
      <c r="F110">
        <f t="shared" si="10"/>
        <v>17</v>
      </c>
      <c r="G110">
        <v>2.6</v>
      </c>
      <c r="H110" s="3">
        <f t="shared" si="11"/>
        <v>318</v>
      </c>
      <c r="I110" t="str">
        <f t="shared" si="12"/>
        <v>Poor</v>
      </c>
      <c r="J110" t="str">
        <f t="shared" si="13"/>
        <v>High</v>
      </c>
      <c r="P110" t="s">
        <v>141</v>
      </c>
    </row>
    <row r="111" spans="1:19" x14ac:dyDescent="0.35">
      <c r="A111" t="s">
        <v>71</v>
      </c>
      <c r="B111" s="3">
        <v>1000</v>
      </c>
      <c r="C111" s="3">
        <v>2000</v>
      </c>
      <c r="D111" s="1">
        <v>0.5</v>
      </c>
      <c r="E111">
        <v>-7</v>
      </c>
      <c r="F111">
        <f t="shared" si="10"/>
        <v>7</v>
      </c>
      <c r="G111">
        <v>2.2999999999999998</v>
      </c>
      <c r="H111" s="3">
        <f t="shared" si="11"/>
        <v>1000</v>
      </c>
      <c r="I111" t="str">
        <f t="shared" si="12"/>
        <v>Poor</v>
      </c>
      <c r="J111" t="str">
        <f t="shared" si="13"/>
        <v>High</v>
      </c>
      <c r="P111" t="s">
        <v>139</v>
      </c>
    </row>
    <row r="112" spans="1:19" x14ac:dyDescent="0.35">
      <c r="A112" t="s">
        <v>75</v>
      </c>
      <c r="B112" s="3">
        <v>345</v>
      </c>
      <c r="C112" s="3">
        <v>602</v>
      </c>
      <c r="D112" s="1">
        <v>0.43</v>
      </c>
      <c r="E112">
        <v>-6</v>
      </c>
      <c r="F112">
        <f t="shared" si="10"/>
        <v>6</v>
      </c>
      <c r="G112">
        <v>2.2999999999999998</v>
      </c>
      <c r="H112" s="3">
        <f t="shared" si="11"/>
        <v>257</v>
      </c>
      <c r="I112" t="str">
        <f t="shared" si="12"/>
        <v>Poor</v>
      </c>
      <c r="J112" t="str">
        <f t="shared" si="13"/>
        <v>High</v>
      </c>
      <c r="P112" s="3">
        <f>AVERAGE(B:B)</f>
        <v>1168.8684210526317</v>
      </c>
      <c r="Q112" s="3">
        <f>AVERAGE(C:C)</f>
        <v>1789.1491228070176</v>
      </c>
      <c r="R112" s="1">
        <f>AVERAGE(D:D)</f>
        <v>0.36956521739130427</v>
      </c>
      <c r="S112">
        <f>AVERAGE(G:G)</f>
        <v>3.9461538461538459</v>
      </c>
    </row>
    <row r="113" spans="1:16" x14ac:dyDescent="0.35">
      <c r="A113" t="s">
        <v>77</v>
      </c>
      <c r="B113" s="3">
        <v>968</v>
      </c>
      <c r="C113" s="3">
        <v>1814</v>
      </c>
      <c r="D113" s="1">
        <v>0.47</v>
      </c>
      <c r="E113">
        <v>-6</v>
      </c>
      <c r="F113">
        <f t="shared" si="10"/>
        <v>6</v>
      </c>
      <c r="G113">
        <v>2.2000000000000002</v>
      </c>
      <c r="H113" s="3">
        <f t="shared" si="11"/>
        <v>846</v>
      </c>
      <c r="I113" t="str">
        <f t="shared" si="12"/>
        <v>Poor</v>
      </c>
      <c r="J113" t="str">
        <f t="shared" si="13"/>
        <v>High</v>
      </c>
      <c r="P113" t="s">
        <v>122</v>
      </c>
    </row>
    <row r="114" spans="1:16" x14ac:dyDescent="0.35">
      <c r="A114" t="s">
        <v>70</v>
      </c>
      <c r="B114" s="3">
        <v>990</v>
      </c>
      <c r="C114" s="3">
        <v>1814</v>
      </c>
      <c r="D114" s="1">
        <v>0.45</v>
      </c>
      <c r="E114">
        <v>-6</v>
      </c>
      <c r="F114">
        <f t="shared" si="10"/>
        <v>6</v>
      </c>
      <c r="G114">
        <v>2.2000000000000002</v>
      </c>
      <c r="H114" s="3">
        <f t="shared" si="11"/>
        <v>824</v>
      </c>
      <c r="I114" t="str">
        <f t="shared" si="12"/>
        <v>Poor</v>
      </c>
      <c r="J114" t="str">
        <f t="shared" si="13"/>
        <v>High</v>
      </c>
      <c r="P114" t="s">
        <v>123</v>
      </c>
    </row>
    <row r="115" spans="1:16" x14ac:dyDescent="0.35">
      <c r="A115" t="s">
        <v>66</v>
      </c>
      <c r="B115" s="3">
        <v>2115</v>
      </c>
      <c r="C115" s="3">
        <v>4700</v>
      </c>
      <c r="D115" s="1">
        <v>0.55000000000000004</v>
      </c>
      <c r="E115">
        <v>-13</v>
      </c>
      <c r="F115">
        <f t="shared" si="10"/>
        <v>13</v>
      </c>
      <c r="G115">
        <v>2.1</v>
      </c>
      <c r="H115" s="3">
        <f t="shared" si="11"/>
        <v>2585</v>
      </c>
      <c r="I115" t="str">
        <f t="shared" si="12"/>
        <v>Poor</v>
      </c>
      <c r="J115" t="str">
        <f t="shared" si="13"/>
        <v>High</v>
      </c>
      <c r="P115" t="s">
        <v>136</v>
      </c>
    </row>
    <row r="116" spans="1:16" x14ac:dyDescent="0.35">
      <c r="A116" t="s">
        <v>78</v>
      </c>
      <c r="B116" s="3">
        <v>1570</v>
      </c>
      <c r="C116" s="3">
        <v>2988</v>
      </c>
      <c r="D116" s="1">
        <v>0.47</v>
      </c>
      <c r="E116">
        <v>-7</v>
      </c>
      <c r="F116">
        <f t="shared" si="10"/>
        <v>7</v>
      </c>
      <c r="G116">
        <v>2.1</v>
      </c>
      <c r="H116" s="3">
        <f t="shared" si="11"/>
        <v>1418</v>
      </c>
      <c r="I116" t="str">
        <f t="shared" si="12"/>
        <v>Poor</v>
      </c>
      <c r="J116" t="str">
        <f t="shared" si="13"/>
        <v>High</v>
      </c>
      <c r="P116" t="s">
        <v>137</v>
      </c>
    </row>
  </sheetData>
  <autoFilter ref="G1:G118" xr:uid="{00000000-0009-0000-0000-000005000000}">
    <sortState ref="A2:J118">
      <sortCondition descending="1" ref="G1:G118"/>
    </sortState>
  </autoFilter>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7:N23"/>
  <sheetViews>
    <sheetView workbookViewId="0">
      <selection activeCell="B14" sqref="B14"/>
    </sheetView>
  </sheetViews>
  <sheetFormatPr defaultRowHeight="14.5" x14ac:dyDescent="0.35"/>
  <cols>
    <col min="1" max="1" width="12.36328125" bestFit="1" customWidth="1"/>
    <col min="2" max="2" width="15.26953125" bestFit="1" customWidth="1"/>
    <col min="4" max="4" width="12.36328125" bestFit="1" customWidth="1"/>
    <col min="5" max="6" width="15.26953125" bestFit="1" customWidth="1"/>
    <col min="7" max="7" width="64.453125" bestFit="1" customWidth="1"/>
    <col min="8" max="8" width="16.6328125" bestFit="1" customWidth="1"/>
    <col min="9" max="9" width="15.26953125" bestFit="1" customWidth="1"/>
    <col min="10" max="10" width="61.453125" bestFit="1" customWidth="1"/>
    <col min="11" max="11" width="13.90625" bestFit="1" customWidth="1"/>
    <col min="12" max="12" width="15.26953125" bestFit="1" customWidth="1"/>
    <col min="13" max="13" width="69.54296875" bestFit="1" customWidth="1"/>
    <col min="14" max="14" width="17.7265625" bestFit="1" customWidth="1"/>
    <col min="15" max="15" width="15.26953125" bestFit="1" customWidth="1"/>
  </cols>
  <sheetData>
    <row r="7" spans="1:14" x14ac:dyDescent="0.35">
      <c r="A7" s="4" t="s">
        <v>124</v>
      </c>
      <c r="B7" s="4" t="s">
        <v>132</v>
      </c>
      <c r="C7" s="4"/>
      <c r="D7" s="4" t="s">
        <v>124</v>
      </c>
      <c r="E7" s="4" t="s">
        <v>132</v>
      </c>
      <c r="F7" s="4"/>
      <c r="G7" s="4" t="s">
        <v>124</v>
      </c>
      <c r="H7" s="4" t="s">
        <v>146</v>
      </c>
      <c r="I7" s="4"/>
      <c r="J7" s="4" t="s">
        <v>124</v>
      </c>
      <c r="K7" s="4" t="s">
        <v>150</v>
      </c>
      <c r="L7" s="4"/>
      <c r="M7" s="4" t="s">
        <v>124</v>
      </c>
      <c r="N7" s="4" t="s">
        <v>129</v>
      </c>
    </row>
    <row r="8" spans="1:14" x14ac:dyDescent="0.35">
      <c r="A8" s="5" t="s">
        <v>133</v>
      </c>
      <c r="B8" s="6">
        <v>20</v>
      </c>
      <c r="D8" s="5" t="s">
        <v>125</v>
      </c>
      <c r="E8" s="6">
        <v>65</v>
      </c>
      <c r="G8" s="5" t="s">
        <v>41</v>
      </c>
      <c r="H8" s="6">
        <v>5</v>
      </c>
      <c r="J8" s="5" t="s">
        <v>67</v>
      </c>
      <c r="K8" s="6">
        <v>69</v>
      </c>
      <c r="M8" s="5" t="s">
        <v>112</v>
      </c>
      <c r="N8" s="1">
        <v>0.64</v>
      </c>
    </row>
    <row r="9" spans="1:14" x14ac:dyDescent="0.35">
      <c r="A9" s="5" t="s">
        <v>134</v>
      </c>
      <c r="B9" s="6">
        <v>85</v>
      </c>
      <c r="D9" s="5" t="s">
        <v>126</v>
      </c>
      <c r="E9" s="6">
        <v>18</v>
      </c>
      <c r="G9" s="5" t="s">
        <v>22</v>
      </c>
      <c r="H9" s="6">
        <v>5</v>
      </c>
      <c r="J9" s="5" t="s">
        <v>12</v>
      </c>
      <c r="K9" s="6">
        <v>55</v>
      </c>
      <c r="M9" s="5" t="s">
        <v>14</v>
      </c>
      <c r="N9" s="1">
        <v>0.55000000000000004</v>
      </c>
    </row>
    <row r="10" spans="1:14" x14ac:dyDescent="0.35">
      <c r="A10" s="5" t="s">
        <v>135</v>
      </c>
      <c r="B10" s="6">
        <v>10</v>
      </c>
      <c r="D10" s="5" t="s">
        <v>127</v>
      </c>
      <c r="E10" s="6">
        <v>32</v>
      </c>
      <c r="G10" s="5" t="s">
        <v>23</v>
      </c>
      <c r="H10" s="6">
        <v>5</v>
      </c>
      <c r="J10" s="5" t="s">
        <v>31</v>
      </c>
      <c r="K10" s="6">
        <v>49</v>
      </c>
      <c r="M10" s="5" t="s">
        <v>66</v>
      </c>
      <c r="N10" s="1">
        <v>0.55000000000000004</v>
      </c>
    </row>
    <row r="11" spans="1:14" x14ac:dyDescent="0.35">
      <c r="A11" s="5" t="s">
        <v>128</v>
      </c>
      <c r="B11" s="6">
        <v>115</v>
      </c>
      <c r="D11" s="5" t="s">
        <v>128</v>
      </c>
      <c r="E11" s="6">
        <v>115</v>
      </c>
      <c r="G11" s="5" t="s">
        <v>21</v>
      </c>
      <c r="H11" s="6">
        <v>5</v>
      </c>
      <c r="J11" s="5" t="s">
        <v>25</v>
      </c>
      <c r="K11" s="6">
        <v>44</v>
      </c>
      <c r="M11" s="5" t="s">
        <v>54</v>
      </c>
      <c r="N11" s="1">
        <v>0.55000000000000004</v>
      </c>
    </row>
    <row r="12" spans="1:14" x14ac:dyDescent="0.35">
      <c r="G12" s="5" t="s">
        <v>84</v>
      </c>
      <c r="H12" s="6">
        <v>5</v>
      </c>
      <c r="J12" s="5" t="s">
        <v>17</v>
      </c>
      <c r="K12" s="6">
        <v>39</v>
      </c>
      <c r="M12" s="5" t="s">
        <v>30</v>
      </c>
      <c r="N12" s="1">
        <v>0.54</v>
      </c>
    </row>
    <row r="13" spans="1:14" x14ac:dyDescent="0.35">
      <c r="G13" s="5" t="s">
        <v>42</v>
      </c>
      <c r="H13" s="6">
        <v>5</v>
      </c>
      <c r="J13" s="5" t="s">
        <v>43</v>
      </c>
      <c r="K13" s="6">
        <v>36</v>
      </c>
      <c r="M13" s="5" t="s">
        <v>65</v>
      </c>
      <c r="N13" s="1">
        <v>0.54</v>
      </c>
    </row>
    <row r="14" spans="1:14" x14ac:dyDescent="0.35">
      <c r="D14" s="5"/>
      <c r="E14" s="6"/>
      <c r="G14" s="5" t="s">
        <v>18</v>
      </c>
      <c r="H14" s="6">
        <v>4.8</v>
      </c>
      <c r="J14" s="5" t="s">
        <v>40</v>
      </c>
      <c r="K14" s="6">
        <v>32</v>
      </c>
      <c r="M14" s="5" t="s">
        <v>42</v>
      </c>
      <c r="N14" s="1">
        <v>0.53</v>
      </c>
    </row>
    <row r="15" spans="1:14" x14ac:dyDescent="0.35">
      <c r="D15" s="5"/>
      <c r="E15" s="6"/>
      <c r="G15" s="5" t="s">
        <v>10</v>
      </c>
      <c r="H15" s="6">
        <v>4.8</v>
      </c>
      <c r="J15" s="5" t="s">
        <v>8</v>
      </c>
      <c r="K15" s="6">
        <v>24</v>
      </c>
      <c r="M15" s="5" t="s">
        <v>26</v>
      </c>
      <c r="N15" s="1">
        <v>0.53</v>
      </c>
    </row>
    <row r="16" spans="1:14" x14ac:dyDescent="0.35">
      <c r="D16" s="5"/>
      <c r="E16" s="6"/>
      <c r="G16" s="5" t="s">
        <v>14</v>
      </c>
      <c r="H16" s="6">
        <v>4.8</v>
      </c>
      <c r="J16" s="5" t="s">
        <v>39</v>
      </c>
      <c r="K16" s="6">
        <v>20</v>
      </c>
      <c r="M16" s="5" t="s">
        <v>36</v>
      </c>
      <c r="N16" s="1">
        <v>0.52</v>
      </c>
    </row>
    <row r="17" spans="4:14" x14ac:dyDescent="0.35">
      <c r="D17" s="5"/>
      <c r="E17" s="6"/>
      <c r="G17" s="5" t="s">
        <v>9</v>
      </c>
      <c r="H17" s="6">
        <v>4.7</v>
      </c>
      <c r="J17" s="5" t="s">
        <v>34</v>
      </c>
      <c r="K17" s="6">
        <v>20</v>
      </c>
      <c r="M17" s="5" t="s">
        <v>68</v>
      </c>
      <c r="N17" s="1">
        <v>0.52</v>
      </c>
    </row>
    <row r="18" spans="4:14" x14ac:dyDescent="0.35">
      <c r="D18" s="5"/>
      <c r="E18" s="6"/>
      <c r="G18" s="5" t="s">
        <v>37</v>
      </c>
      <c r="H18" s="6">
        <v>4.7</v>
      </c>
      <c r="J18" s="5" t="s">
        <v>128</v>
      </c>
      <c r="K18" s="6">
        <v>388</v>
      </c>
      <c r="M18" s="5" t="s">
        <v>128</v>
      </c>
      <c r="N18" s="6">
        <v>0.54727272727272724</v>
      </c>
    </row>
    <row r="19" spans="4:14" x14ac:dyDescent="0.35">
      <c r="D19" s="5"/>
      <c r="E19" s="6"/>
      <c r="G19" s="5" t="s">
        <v>17</v>
      </c>
      <c r="H19" s="6">
        <v>4.7</v>
      </c>
    </row>
    <row r="20" spans="4:14" x14ac:dyDescent="0.35">
      <c r="D20" s="5"/>
      <c r="E20" s="6"/>
      <c r="G20" s="5" t="s">
        <v>39</v>
      </c>
      <c r="H20" s="6">
        <v>4.7</v>
      </c>
    </row>
    <row r="21" spans="4:14" x14ac:dyDescent="0.35">
      <c r="D21" s="5"/>
      <c r="E21" s="6"/>
      <c r="G21" s="5" t="s">
        <v>128</v>
      </c>
      <c r="H21" s="6">
        <v>4.8615384615384611</v>
      </c>
    </row>
    <row r="22" spans="4:14" x14ac:dyDescent="0.35">
      <c r="D22" s="5"/>
      <c r="E22" s="6"/>
    </row>
    <row r="23" spans="4:14" x14ac:dyDescent="0.35">
      <c r="D23" s="5"/>
      <c r="E23"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showGridLines="0" tabSelected="1" workbookViewId="0">
      <selection activeCell="A4" sqref="A4"/>
    </sheetView>
  </sheetViews>
  <sheetFormatPr defaultRowHeight="14.5" x14ac:dyDescent="0.35"/>
  <cols>
    <col min="1" max="1" width="16.453125" bestFit="1" customWidth="1"/>
    <col min="2" max="2" width="17.7265625" bestFit="1" customWidth="1"/>
    <col min="3" max="3" width="19.1796875" bestFit="1" customWidth="1"/>
    <col min="4" max="4" width="14.90625" bestFit="1" customWidth="1"/>
  </cols>
  <sheetData>
    <row r="1" spans="1:4" s="7" customFormat="1" ht="18.5" x14ac:dyDescent="0.45">
      <c r="A1" s="8" t="s">
        <v>151</v>
      </c>
      <c r="B1" s="9" t="s">
        <v>152</v>
      </c>
      <c r="C1" s="9" t="s">
        <v>153</v>
      </c>
      <c r="D1" s="10" t="s">
        <v>154</v>
      </c>
    </row>
    <row r="2" spans="1:4" ht="19" thickBot="1" x14ac:dyDescent="0.5">
      <c r="A2" s="11">
        <f>COUNTA('Excel_jumia (1) '!A:A)</f>
        <v>116</v>
      </c>
      <c r="B2" s="12">
        <f>AVERAGE('Excel_jumia (1) '!G:G)</f>
        <v>3.9461538461538459</v>
      </c>
      <c r="C2" s="13">
        <f>AVERAGE('Excel_jumia (1) '!D:D)</f>
        <v>0.36956521739130427</v>
      </c>
      <c r="D2" s="14">
        <f>SUM('Excel_jumia (1) '!F:F)</f>
        <v>713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 rating and discount</vt:lpstr>
      <vt:lpstr>discounts and  reviews</vt:lpstr>
      <vt:lpstr>product distribution</vt:lpstr>
      <vt:lpstr>rating category and reviews</vt:lpstr>
      <vt:lpstr>high versus low discont pdts</vt:lpstr>
      <vt:lpstr>Excel_jumia (1) </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2026-03-25T03:24:07Z</dcterms:created>
  <dcterms:modified xsi:type="dcterms:W3CDTF">2026-03-29T16:45:58Z</dcterms:modified>
</cp:coreProperties>
</file>